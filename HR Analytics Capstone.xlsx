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7.xml" ContentType="application/vnd.openxmlformats-officedocument.spreadsheetml.pivot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DMIN\Desktop\Besant\EXCEL\Project\EXCEL\"/>
    </mc:Choice>
  </mc:AlternateContent>
  <xr:revisionPtr revIDLastSave="0" documentId="13_ncr:1_{A2425D1F-8191-444A-A859-E6539AB6C809}" xr6:coauthVersionLast="47" xr6:coauthVersionMax="47" xr10:uidLastSave="{00000000-0000-0000-0000-000000000000}"/>
  <bookViews>
    <workbookView xWindow="-120" yWindow="-120" windowWidth="20730" windowHeight="11160" firstSheet="1" activeTab="2" xr2:uid="{00000000-000D-0000-FFFF-FFFF00000000}"/>
  </bookViews>
  <sheets>
    <sheet name="Dash board base" sheetId="22" r:id="rId1"/>
    <sheet name="PIVOT TABLE" sheetId="23" r:id="rId2"/>
    <sheet name="HR ANALYTICS " sheetId="26" r:id="rId3"/>
    <sheet name="DASHBOARD PLANS" sheetId="25" r:id="rId4"/>
    <sheet name="1_Employee_Master_Updated" sheetId="2" r:id="rId5"/>
    <sheet name="Attrition_with_Complaints" sheetId="18" r:id="rId6"/>
    <sheet name="Appraisal_Updated" sheetId="3" r:id="rId7"/>
    <sheet name="Attendance_Status_Updated" sheetId="4" r:id="rId8"/>
    <sheet name="Engagement_Pulse_Survey" sheetId="6" r:id="rId9"/>
    <sheet name="Leave_Updated" sheetId="7" r:id="rId10"/>
    <sheet name="Official_Updated" sheetId="8" r:id="rId11"/>
    <sheet name="Payroll_Updated" sheetId="9" r:id="rId12"/>
    <sheet name="Recruitment_Updated" sheetId="12" r:id="rId13"/>
    <sheet name="Review_Updated" sheetId="13" r:id="rId14"/>
    <sheet name="Working_Hours_Updated" sheetId="14" r:id="rId15"/>
  </sheets>
  <definedNames>
    <definedName name="ExternalData_1" localSheetId="4" hidden="1">'1_Employee_Master_Updated'!$A$1:$K$51</definedName>
    <definedName name="ExternalData_1" localSheetId="6" hidden="1">Appraisal_Updated!$A$1:$D$51</definedName>
    <definedName name="ExternalData_1" localSheetId="7" hidden="1">Attendance_Status_Updated!$A$1:$D$201</definedName>
    <definedName name="ExternalData_1" localSheetId="5" hidden="1">Attrition_with_Complaints!$A$1:$M$51</definedName>
    <definedName name="ExternalData_1" localSheetId="0" hidden="1">'Dash board base'!$A$1:$O$51</definedName>
    <definedName name="ExternalData_1" localSheetId="9" hidden="1">Leave_Updated!$A$1:$E$16</definedName>
    <definedName name="ExternalData_1" localSheetId="10" hidden="1">Official_Updated!$A$1:$E$51</definedName>
    <definedName name="ExternalData_1" localSheetId="11" hidden="1">Payroll_Updated!$A$1:$L$51</definedName>
    <definedName name="ExternalData_1" localSheetId="12" hidden="1">'Recruitment_Updated'!$A$1:$J$31</definedName>
    <definedName name="ExternalData_1" localSheetId="13" hidden="1">'Review_Updated'!$A$1:$I$51</definedName>
    <definedName name="ExternalData_1" localSheetId="14" hidden="1">Working_Hours_Updated!$A$1:$F$185</definedName>
    <definedName name="ExternalData_2" localSheetId="8" hidden="1">Engagement_Pulse_Survey!$A$1:$H$41</definedName>
    <definedName name="SheetCount" comment="=GET.WORKBOOK(1)">#REF!</definedName>
    <definedName name="Slicer_Department">#N/A</definedName>
    <definedName name="Slicer_Gender">#N/A</definedName>
  </definedNames>
  <calcPr calcId="191029"/>
  <pivotCaches>
    <pivotCache cacheId="0" r:id="rId16"/>
    <pivotCache cacheId="1" r:id="rId17"/>
    <pivotCache cacheId="2"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26" l="1"/>
  <c r="B2" i="23"/>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F2"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G2"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F2"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H2"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K2"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U2" i="22"/>
  <c r="U3" i="22"/>
  <c r="U4" i="22"/>
  <c r="U5" i="22"/>
  <c r="U6" i="22"/>
  <c r="U7" i="22"/>
  <c r="U8" i="22"/>
  <c r="U9" i="22"/>
  <c r="U10" i="22"/>
  <c r="U11" i="22"/>
  <c r="U12" i="22"/>
  <c r="U13" i="22"/>
  <c r="U14" i="22"/>
  <c r="U15" i="22"/>
  <c r="U16" i="22"/>
  <c r="U17" i="22"/>
  <c r="U18" i="22"/>
  <c r="U19" i="22"/>
  <c r="U20" i="22"/>
  <c r="U21" i="22"/>
  <c r="U22" i="22"/>
  <c r="U23" i="22"/>
  <c r="U24" i="22"/>
  <c r="U25" i="22"/>
  <c r="U26" i="22"/>
  <c r="U27" i="22"/>
  <c r="U28" i="22"/>
  <c r="U29" i="22"/>
  <c r="U30" i="22"/>
  <c r="U31" i="22"/>
  <c r="U32" i="22"/>
  <c r="U33" i="22"/>
  <c r="U34" i="22"/>
  <c r="U35" i="22"/>
  <c r="U36" i="22"/>
  <c r="U37" i="22"/>
  <c r="U38" i="22"/>
  <c r="U39" i="22"/>
  <c r="U40" i="22"/>
  <c r="U41" i="22"/>
  <c r="U42" i="22"/>
  <c r="U43" i="22"/>
  <c r="U44" i="22"/>
  <c r="U45" i="22"/>
  <c r="U46" i="22"/>
  <c r="U47" i="22"/>
  <c r="U48" i="22"/>
  <c r="U49" i="22"/>
  <c r="U50" i="22"/>
  <c r="U51" i="22"/>
  <c r="B7" i="23"/>
  <c r="F10" i="23"/>
  <c r="B4" i="23"/>
  <c r="B3" i="23"/>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306166-0442-465D-9C17-74634B807B5A}" keepAlive="1" name="Query - 1_Employee_Master_Updated" description="Connection to the '1_Employee_Master_Updated' query in the workbook." type="5" refreshedVersion="8" background="1" saveData="1">
    <dbPr connection="Provider=Microsoft.Mashup.OleDb.1;Data Source=$Workbook$;Location=1_Employee_Master_Updated;Extended Properties=&quot;&quot;" command="SELECT * FROM [1_Employee_Master_Updated]"/>
  </connection>
  <connection id="2" xr16:uid="{24A0A2DE-3522-49EC-B895-A335146E4172}" keepAlive="1" name="Query - 1_Employee_Master_Updated (2)" description="Connection to the '1_Employee_Master_Updated (2)' query in the workbook." type="5" refreshedVersion="8" background="1" saveData="1">
    <dbPr connection="Provider=Microsoft.Mashup.OleDb.1;Data Source=$Workbook$;Location=&quot;1_Employee_Master_Updated (2)&quot;;Extended Properties=&quot;&quot;" command="SELECT * FROM [1_Employee_Master_Updated (2)]"/>
  </connection>
  <connection id="3" xr16:uid="{33F85181-011D-4F9C-9422-82F1B25858D1}" keepAlive="1" name="Query - Appraisal_Updated" description="Connection to the 'Appraisal_Updated' query in the workbook." type="5" refreshedVersion="8" background="1" saveData="1">
    <dbPr connection="Provider=Microsoft.Mashup.OleDb.1;Data Source=$Workbook$;Location=Appraisal_Updated;Extended Properties=&quot;&quot;" command="SELECT * FROM [Appraisal_Updated]"/>
  </connection>
  <connection id="4" xr16:uid="{02C6214B-19C8-4524-88AD-A7BF399D9B91}" keepAlive="1" name="Query - Attendance_Status_Updated" description="Connection to the 'Attendance_Status_Updated' query in the workbook." type="5" refreshedVersion="8" background="1" saveData="1">
    <dbPr connection="Provider=Microsoft.Mashup.OleDb.1;Data Source=$Workbook$;Location=Attendance_Status_Updated;Extended Properties=&quot;&quot;" command="SELECT * FROM [Attendance_Status_Updated]"/>
  </connection>
  <connection id="5" xr16:uid="{C0A8210E-12C1-4101-A2D1-63F306FCEFED}" keepAlive="1" name="Query - Attrition_Updated" description="Connection to the 'Attrition_Updated' query in the workbook." type="5" refreshedVersion="8" background="1" saveData="1">
    <dbPr connection="Provider=Microsoft.Mashup.OleDb.1;Data Source=$Workbook$;Location=Attrition_Updated;Extended Properties=&quot;&quot;" command="SELECT * FROM [Attrition_Updated]"/>
  </connection>
  <connection id="6" xr16:uid="{6BCF24A2-A982-4797-886A-6A50E505B46A}" keepAlive="1" name="Query - Attrition_with_Complaints" description="Connection to the 'Attrition_with_Complaints' query in the workbook." type="5" refreshedVersion="8" background="1" saveData="1">
    <dbPr connection="Provider=Microsoft.Mashup.OleDb.1;Data Source=$Workbook$;Location=Attrition_with_Complaints;Extended Properties=&quot;&quot;" command="SELECT * FROM [Attrition_with_Complaints]"/>
  </connection>
  <connection id="7" xr16:uid="{71B7FD9A-3C8D-43DF-A26C-DF44FA3373AB}" keepAlive="1" name="Query - Engagement_Pulse_Survey" description="Connection to the 'Engagement_Pulse_Survey' query in the workbook." type="5" refreshedVersion="8" background="1" saveData="1">
    <dbPr connection="Provider=Microsoft.Mashup.OleDb.1;Data Source=$Workbook$;Location=Engagement_Pulse_Survey;Extended Properties=&quot;&quot;" command="SELECT * FROM [Engagement_Pulse_Survey]"/>
  </connection>
  <connection id="8" xr16:uid="{D3D43B52-E0DA-4337-8E12-73885C7E1DC1}" keepAlive="1" name="Query - Leave_Updated" description="Connection to the 'Leave_Updated' query in the workbook." type="5" refreshedVersion="8" background="1" saveData="1">
    <dbPr connection="Provider=Microsoft.Mashup.OleDb.1;Data Source=$Workbook$;Location=Leave_Updated;Extended Properties=&quot;&quot;" command="SELECT * FROM [Leave_Updated]"/>
  </connection>
  <connection id="9" xr16:uid="{C87056E0-D654-40FE-AD67-790DFC1AFA93}" keepAlive="1" name="Query - Official_Updated" description="Connection to the 'Official_Updated' query in the workbook." type="5" refreshedVersion="8" background="1" saveData="1">
    <dbPr connection="Provider=Microsoft.Mashup.OleDb.1;Data Source=$Workbook$;Location=Official_Updated;Extended Properties=&quot;&quot;" command="SELECT * FROM [Official_Updated]"/>
  </connection>
  <connection id="10" xr16:uid="{0B7CC6C9-948B-4CF9-BE36-A3CE2255F983}" keepAlive="1" name="Query - Payroll_Updated" description="Connection to the 'Payroll_Updated' query in the workbook." type="5" refreshedVersion="8" background="1" saveData="1">
    <dbPr connection="Provider=Microsoft.Mashup.OleDb.1;Data Source=$Workbook$;Location=Payroll_Updated;Extended Properties=&quot;&quot;" command="SELECT * FROM [Payroll_Updated]"/>
  </connection>
  <connection id="11" xr16:uid="{8DD5DB16-892D-47C3-AC2C-71C33CFF1C6B}" keepAlive="1" name="Query - PNL_Summary_Updated" description="Connection to the 'PNL_Summary_Updated' query in the workbook." type="5" refreshedVersion="8" background="1" saveData="1">
    <dbPr connection="Provider=Microsoft.Mashup.OleDb.1;Data Source=$Workbook$;Location=PNL_Summary_Updated;Extended Properties=&quot;&quot;" command="SELECT * FROM [PNL_Summary_Updated]"/>
  </connection>
  <connection id="12" xr16:uid="{97AC7321-98CF-42A2-8036-3ADE9AB884E2}" keepAlive="1" name="Query - Recruitment_Updated" description="Connection to the 'Recruitment_Updated' query in the workbook." type="5" refreshedVersion="8" background="1" saveData="1">
    <dbPr connection="Provider=Microsoft.Mashup.OleDb.1;Data Source=$Workbook$;Location=Recruitment_Updated;Extended Properties=&quot;&quot;" command="SELECT * FROM [Recruitment_Updated]"/>
  </connection>
  <connection id="13" xr16:uid="{ABB25E0B-BF86-466E-B4DF-2C8AD73D2C91}" keepAlive="1" name="Query - Review_Updated" description="Connection to the 'Review_Updated' query in the workbook." type="5" refreshedVersion="8" background="1" saveData="1">
    <dbPr connection="Provider=Microsoft.Mashup.OleDb.1;Data Source=$Workbook$;Location=Review_Updated;Extended Properties=&quot;&quot;" command="SELECT * FROM [Review_Updated]"/>
  </connection>
  <connection id="14" xr16:uid="{8C87527A-0F8A-4257-AD4D-C6FE8EB58453}" keepAlive="1" name="Query - Working_Hours_Updated" description="Connection to the 'Working_Hours_Updated' query in the workbook." type="5" refreshedVersion="8" background="1" saveData="1">
    <dbPr connection="Provider=Microsoft.Mashup.OleDb.1;Data Source=$Workbook$;Location=Working_Hours_Updated;Extended Properties=&quot;&quot;" command="SELECT * FROM [Working_Hours_Updated]"/>
  </connection>
</connections>
</file>

<file path=xl/sharedStrings.xml><?xml version="1.0" encoding="utf-8"?>
<sst xmlns="http://schemas.openxmlformats.org/spreadsheetml/2006/main" count="3851" uniqueCount="647">
  <si>
    <t>Emp_ID</t>
  </si>
  <si>
    <t>Name</t>
  </si>
  <si>
    <t>Gender</t>
  </si>
  <si>
    <t>DOB</t>
  </si>
  <si>
    <t>DOJ</t>
  </si>
  <si>
    <t>Location</t>
  </si>
  <si>
    <t>Department</t>
  </si>
  <si>
    <t>Designation</t>
  </si>
  <si>
    <t>Employee_Type</t>
  </si>
  <si>
    <t>Work_Location_Type</t>
  </si>
  <si>
    <t>Employment_Status</t>
  </si>
  <si>
    <t>A001</t>
  </si>
  <si>
    <t>Male</t>
  </si>
  <si>
    <t>Chennai</t>
  </si>
  <si>
    <t>Operations</t>
  </si>
  <si>
    <t>Admin</t>
  </si>
  <si>
    <t>Contract</t>
  </si>
  <si>
    <t>Hybrid</t>
  </si>
  <si>
    <t>Active</t>
  </si>
  <si>
    <t>A002</t>
  </si>
  <si>
    <t>Female</t>
  </si>
  <si>
    <t>Pune</t>
  </si>
  <si>
    <t>Sales</t>
  </si>
  <si>
    <t>Analyst</t>
  </si>
  <si>
    <t>A003</t>
  </si>
  <si>
    <t>Finance</t>
  </si>
  <si>
    <t>Manager</t>
  </si>
  <si>
    <t>Permanent</t>
  </si>
  <si>
    <t>A004</t>
  </si>
  <si>
    <t>Office</t>
  </si>
  <si>
    <t>A005</t>
  </si>
  <si>
    <t>Indore</t>
  </si>
  <si>
    <t>IT</t>
  </si>
  <si>
    <t>A006</t>
  </si>
  <si>
    <t>Trivandrum</t>
  </si>
  <si>
    <t>Executive</t>
  </si>
  <si>
    <t>Work From Home</t>
  </si>
  <si>
    <t>A007</t>
  </si>
  <si>
    <t>Hyderabad</t>
  </si>
  <si>
    <t>A008</t>
  </si>
  <si>
    <t>Marketing</t>
  </si>
  <si>
    <t>Team Lead</t>
  </si>
  <si>
    <t>A009</t>
  </si>
  <si>
    <t>Jaipur</t>
  </si>
  <si>
    <t>Head of Operation</t>
  </si>
  <si>
    <t>A010</t>
  </si>
  <si>
    <t>Recruiter</t>
  </si>
  <si>
    <t>A011</t>
  </si>
  <si>
    <t>A012</t>
  </si>
  <si>
    <t>Developer</t>
  </si>
  <si>
    <t>A013</t>
  </si>
  <si>
    <t>A014</t>
  </si>
  <si>
    <t>Production</t>
  </si>
  <si>
    <t>A015</t>
  </si>
  <si>
    <t>A016</t>
  </si>
  <si>
    <t>A017</t>
  </si>
  <si>
    <t>Bangalore</t>
  </si>
  <si>
    <t>HR</t>
  </si>
  <si>
    <t>A018</t>
  </si>
  <si>
    <t>A019</t>
  </si>
  <si>
    <t>A020</t>
  </si>
  <si>
    <t>A021</t>
  </si>
  <si>
    <t>A022</t>
  </si>
  <si>
    <t>A023</t>
  </si>
  <si>
    <t>A024</t>
  </si>
  <si>
    <t>A025</t>
  </si>
  <si>
    <t>A026</t>
  </si>
  <si>
    <t>A027</t>
  </si>
  <si>
    <t>A028</t>
  </si>
  <si>
    <t>A029</t>
  </si>
  <si>
    <t>A030</t>
  </si>
  <si>
    <t>A031</t>
  </si>
  <si>
    <t>A032</t>
  </si>
  <si>
    <t>A033</t>
  </si>
  <si>
    <t>Supervisor</t>
  </si>
  <si>
    <t>A034</t>
  </si>
  <si>
    <t>A035</t>
  </si>
  <si>
    <t>A036</t>
  </si>
  <si>
    <t>A037</t>
  </si>
  <si>
    <t>A038</t>
  </si>
  <si>
    <t>A039</t>
  </si>
  <si>
    <t>A040</t>
  </si>
  <si>
    <t>A041</t>
  </si>
  <si>
    <t>Exit</t>
  </si>
  <si>
    <t>A042</t>
  </si>
  <si>
    <t>A043</t>
  </si>
  <si>
    <t>A044</t>
  </si>
  <si>
    <t>A045</t>
  </si>
  <si>
    <t>A046</t>
  </si>
  <si>
    <t>A047</t>
  </si>
  <si>
    <t>A048</t>
  </si>
  <si>
    <t>A049</t>
  </si>
  <si>
    <t>A050</t>
  </si>
  <si>
    <t>Joining_CTC</t>
  </si>
  <si>
    <t>Appraisal_Month</t>
  </si>
  <si>
    <t>Appraisal_Percentage</t>
  </si>
  <si>
    <t>AttendanceID</t>
  </si>
  <si>
    <t>Attendance_Date</t>
  </si>
  <si>
    <t>Attendance_Status</t>
  </si>
  <si>
    <t>AT0001</t>
  </si>
  <si>
    <t>Present</t>
  </si>
  <si>
    <t>AT0002</t>
  </si>
  <si>
    <t>AT0003</t>
  </si>
  <si>
    <t>AT0004</t>
  </si>
  <si>
    <t>AT0005</t>
  </si>
  <si>
    <t>AT0006</t>
  </si>
  <si>
    <t>AT0007</t>
  </si>
  <si>
    <t>AT0008</t>
  </si>
  <si>
    <t>AT0009</t>
  </si>
  <si>
    <t>AT0010</t>
  </si>
  <si>
    <t>AT0011</t>
  </si>
  <si>
    <t>AT0012</t>
  </si>
  <si>
    <t>AT0013</t>
  </si>
  <si>
    <t>AT0014</t>
  </si>
  <si>
    <t>AT0015</t>
  </si>
  <si>
    <t>AT0016</t>
  </si>
  <si>
    <t>AT0017</t>
  </si>
  <si>
    <t>AT0018</t>
  </si>
  <si>
    <t>AT0019</t>
  </si>
  <si>
    <t>AT0020</t>
  </si>
  <si>
    <t>AT0021</t>
  </si>
  <si>
    <t>AT0022</t>
  </si>
  <si>
    <t>AT0023</t>
  </si>
  <si>
    <t>AT0024</t>
  </si>
  <si>
    <t>AT0025</t>
  </si>
  <si>
    <t>AT0026</t>
  </si>
  <si>
    <t>AT0027</t>
  </si>
  <si>
    <t>AT0028</t>
  </si>
  <si>
    <t>AT0029</t>
  </si>
  <si>
    <t>AT0030</t>
  </si>
  <si>
    <t>AT0031</t>
  </si>
  <si>
    <t>AT0032</t>
  </si>
  <si>
    <t>AT0033</t>
  </si>
  <si>
    <t>AT0034</t>
  </si>
  <si>
    <t>AT0035</t>
  </si>
  <si>
    <t>AT0036</t>
  </si>
  <si>
    <t>AT0037</t>
  </si>
  <si>
    <t>AT0038</t>
  </si>
  <si>
    <t>AT0039</t>
  </si>
  <si>
    <t>AT0040</t>
  </si>
  <si>
    <t>AT0041</t>
  </si>
  <si>
    <t>AT0042</t>
  </si>
  <si>
    <t>AT0043</t>
  </si>
  <si>
    <t>Leave</t>
  </si>
  <si>
    <t>AT0044</t>
  </si>
  <si>
    <t>AT0045</t>
  </si>
  <si>
    <t>AT0046</t>
  </si>
  <si>
    <t>AT0047</t>
  </si>
  <si>
    <t>AT0048</t>
  </si>
  <si>
    <t>AT0049</t>
  </si>
  <si>
    <t>AT0050</t>
  </si>
  <si>
    <t>AT0051</t>
  </si>
  <si>
    <t>AT0052</t>
  </si>
  <si>
    <t>AT0053</t>
  </si>
  <si>
    <t>AT0054</t>
  </si>
  <si>
    <t>AT0055</t>
  </si>
  <si>
    <t>AT0056</t>
  </si>
  <si>
    <t>AT0057</t>
  </si>
  <si>
    <t>AT0058</t>
  </si>
  <si>
    <t>AT0059</t>
  </si>
  <si>
    <t>Absent</t>
  </si>
  <si>
    <t>AT0060</t>
  </si>
  <si>
    <t>AT0061</t>
  </si>
  <si>
    <t>AT0062</t>
  </si>
  <si>
    <t>AT0063</t>
  </si>
  <si>
    <t>AT0064</t>
  </si>
  <si>
    <t>AT0065</t>
  </si>
  <si>
    <t>AT0066</t>
  </si>
  <si>
    <t>AT0067</t>
  </si>
  <si>
    <t>AT0068</t>
  </si>
  <si>
    <t>AT0069</t>
  </si>
  <si>
    <t>AT0070</t>
  </si>
  <si>
    <t>AT0071</t>
  </si>
  <si>
    <t>AT0072</t>
  </si>
  <si>
    <t>AT0073</t>
  </si>
  <si>
    <t>AT0074</t>
  </si>
  <si>
    <t>AT0075</t>
  </si>
  <si>
    <t>AT0076</t>
  </si>
  <si>
    <t>AT0077</t>
  </si>
  <si>
    <t>AT0078</t>
  </si>
  <si>
    <t>AT0079</t>
  </si>
  <si>
    <t>AT0080</t>
  </si>
  <si>
    <t>AT0081</t>
  </si>
  <si>
    <t>AT0082</t>
  </si>
  <si>
    <t>AT0083</t>
  </si>
  <si>
    <t>AT0084</t>
  </si>
  <si>
    <t>AT0085</t>
  </si>
  <si>
    <t>AT0086</t>
  </si>
  <si>
    <t>AT0087</t>
  </si>
  <si>
    <t>AT0088</t>
  </si>
  <si>
    <t>AT0089</t>
  </si>
  <si>
    <t>AT0090</t>
  </si>
  <si>
    <t>AT0091</t>
  </si>
  <si>
    <t>AT0092</t>
  </si>
  <si>
    <t>AT0093</t>
  </si>
  <si>
    <t>AT0094</t>
  </si>
  <si>
    <t>AT0095</t>
  </si>
  <si>
    <t>AT0096</t>
  </si>
  <si>
    <t>AT0097</t>
  </si>
  <si>
    <t>AT0098</t>
  </si>
  <si>
    <t>AT0099</t>
  </si>
  <si>
    <t>AT0100</t>
  </si>
  <si>
    <t>AT0101</t>
  </si>
  <si>
    <t>AT0102</t>
  </si>
  <si>
    <t>AT0103</t>
  </si>
  <si>
    <t>AT0104</t>
  </si>
  <si>
    <t>AT0105</t>
  </si>
  <si>
    <t>AT0106</t>
  </si>
  <si>
    <t>AT0107</t>
  </si>
  <si>
    <t>AT0108</t>
  </si>
  <si>
    <t>AT0109</t>
  </si>
  <si>
    <t>AT0110</t>
  </si>
  <si>
    <t>AT0111</t>
  </si>
  <si>
    <t>AT0112</t>
  </si>
  <si>
    <t>AT0113</t>
  </si>
  <si>
    <t>AT0114</t>
  </si>
  <si>
    <t>AT0115</t>
  </si>
  <si>
    <t>AT0116</t>
  </si>
  <si>
    <t>AT0117</t>
  </si>
  <si>
    <t>AT0118</t>
  </si>
  <si>
    <t>AT0119</t>
  </si>
  <si>
    <t>AT0120</t>
  </si>
  <si>
    <t>AT0121</t>
  </si>
  <si>
    <t>AT0122</t>
  </si>
  <si>
    <t>AT0123</t>
  </si>
  <si>
    <t>AT0124</t>
  </si>
  <si>
    <t>AT0125</t>
  </si>
  <si>
    <t>AT0126</t>
  </si>
  <si>
    <t>AT0127</t>
  </si>
  <si>
    <t>AT0128</t>
  </si>
  <si>
    <t>AT0129</t>
  </si>
  <si>
    <t>AT0130</t>
  </si>
  <si>
    <t>AT0131</t>
  </si>
  <si>
    <t>AT0132</t>
  </si>
  <si>
    <t>AT0133</t>
  </si>
  <si>
    <t>AT0134</t>
  </si>
  <si>
    <t>AT0135</t>
  </si>
  <si>
    <t>AT0136</t>
  </si>
  <si>
    <t>AT0137</t>
  </si>
  <si>
    <t>AT0138</t>
  </si>
  <si>
    <t>AT0139</t>
  </si>
  <si>
    <t>AT0140</t>
  </si>
  <si>
    <t>AT0141</t>
  </si>
  <si>
    <t>AT0142</t>
  </si>
  <si>
    <t>AT0143</t>
  </si>
  <si>
    <t>AT0144</t>
  </si>
  <si>
    <t>AT0145</t>
  </si>
  <si>
    <t>AT0146</t>
  </si>
  <si>
    <t>AT0147</t>
  </si>
  <si>
    <t>AT0148</t>
  </si>
  <si>
    <t>AT0149</t>
  </si>
  <si>
    <t>AT0150</t>
  </si>
  <si>
    <t>AT0151</t>
  </si>
  <si>
    <t>AT0152</t>
  </si>
  <si>
    <t>AT0153</t>
  </si>
  <si>
    <t>AT0154</t>
  </si>
  <si>
    <t>AT0155</t>
  </si>
  <si>
    <t>AT0156</t>
  </si>
  <si>
    <t>AT0157</t>
  </si>
  <si>
    <t>AT0158</t>
  </si>
  <si>
    <t>AT0159</t>
  </si>
  <si>
    <t>AT0160</t>
  </si>
  <si>
    <t>AT0161</t>
  </si>
  <si>
    <t>AT0162</t>
  </si>
  <si>
    <t>AT0163</t>
  </si>
  <si>
    <t>AT0164</t>
  </si>
  <si>
    <t>AT0165</t>
  </si>
  <si>
    <t>AT0166</t>
  </si>
  <si>
    <t>AT0167</t>
  </si>
  <si>
    <t>AT0168</t>
  </si>
  <si>
    <t>AT0169</t>
  </si>
  <si>
    <t>AT0170</t>
  </si>
  <si>
    <t>AT0171</t>
  </si>
  <si>
    <t>AT0172</t>
  </si>
  <si>
    <t>AT0173</t>
  </si>
  <si>
    <t>AT0174</t>
  </si>
  <si>
    <t>AT0175</t>
  </si>
  <si>
    <t>AT0176</t>
  </si>
  <si>
    <t>AT0177</t>
  </si>
  <si>
    <t>AT0178</t>
  </si>
  <si>
    <t>AT0179</t>
  </si>
  <si>
    <t>AT0180</t>
  </si>
  <si>
    <t>AT0181</t>
  </si>
  <si>
    <t>AT0182</t>
  </si>
  <si>
    <t>AT0183</t>
  </si>
  <si>
    <t>AT0184</t>
  </si>
  <si>
    <t>AT0185</t>
  </si>
  <si>
    <t>AT0186</t>
  </si>
  <si>
    <t>AT0187</t>
  </si>
  <si>
    <t>AT0188</t>
  </si>
  <si>
    <t>AT0189</t>
  </si>
  <si>
    <t>AT0190</t>
  </si>
  <si>
    <t>AT0191</t>
  </si>
  <si>
    <t>AT0192</t>
  </si>
  <si>
    <t>AT0193</t>
  </si>
  <si>
    <t>AT0194</t>
  </si>
  <si>
    <t>AT0195</t>
  </si>
  <si>
    <t>AT0196</t>
  </si>
  <si>
    <t>AT0197</t>
  </si>
  <si>
    <t>AT0198</t>
  </si>
  <si>
    <t>AT0199</t>
  </si>
  <si>
    <t>AT0200</t>
  </si>
  <si>
    <t>Resignation_Date</t>
  </si>
  <si>
    <t>LastWorking_Date</t>
  </si>
  <si>
    <t>Exit_Type</t>
  </si>
  <si>
    <t>Exit_Reason</t>
  </si>
  <si>
    <t>Notice_Period</t>
  </si>
  <si>
    <t>Rehire_Eligibility</t>
  </si>
  <si>
    <t>Voluntary</t>
  </si>
  <si>
    <t>Performance Issues</t>
  </si>
  <si>
    <t>No</t>
  </si>
  <si>
    <t>Better Opportunity</t>
  </si>
  <si>
    <t>Yes</t>
  </si>
  <si>
    <t>Relocation</t>
  </si>
  <si>
    <t>Involuntary</t>
  </si>
  <si>
    <t>Personal Reasons</t>
  </si>
  <si>
    <t>Survey_Date</t>
  </si>
  <si>
    <t>Job_Satisfaction</t>
  </si>
  <si>
    <t>Work_Life_Balance</t>
  </si>
  <si>
    <t>Growth_Opportunities</t>
  </si>
  <si>
    <t>Team_Collaboration</t>
  </si>
  <si>
    <t>Start_Date</t>
  </si>
  <si>
    <t>End_Date</t>
  </si>
  <si>
    <t>Leave_Type</t>
  </si>
  <si>
    <t>Approval_Status</t>
  </si>
  <si>
    <t>Sick Leave</t>
  </si>
  <si>
    <t>Approved</t>
  </si>
  <si>
    <t>Casual Leave</t>
  </si>
  <si>
    <t>Privilege Leave</t>
  </si>
  <si>
    <t>Pending</t>
  </si>
  <si>
    <t>CTC</t>
  </si>
  <si>
    <t>DOE</t>
  </si>
  <si>
    <t>Payroll_month</t>
  </si>
  <si>
    <t>Payroll_Year</t>
  </si>
  <si>
    <t>Basic_salary</t>
  </si>
  <si>
    <t>HRA</t>
  </si>
  <si>
    <t>DA</t>
  </si>
  <si>
    <t>BONUS</t>
  </si>
  <si>
    <t>Gross_salary</t>
  </si>
  <si>
    <t>Total_deductions</t>
  </si>
  <si>
    <t>Net_salary</t>
  </si>
  <si>
    <t>Payment_status</t>
  </si>
  <si>
    <t>Payment_date</t>
  </si>
  <si>
    <t>January</t>
  </si>
  <si>
    <t>Paid</t>
  </si>
  <si>
    <t>Temp_ID</t>
  </si>
  <si>
    <t>Applied_Position</t>
  </si>
  <si>
    <t>Applied_Department</t>
  </si>
  <si>
    <t>Experience</t>
  </si>
  <si>
    <t>Application_Date</t>
  </si>
  <si>
    <t>Interview_Date</t>
  </si>
  <si>
    <t>Sourcing_Channel</t>
  </si>
  <si>
    <t>Interview_Status</t>
  </si>
  <si>
    <t>T001</t>
  </si>
  <si>
    <t>Naukri</t>
  </si>
  <si>
    <t>On Hold</t>
  </si>
  <si>
    <t>T002</t>
  </si>
  <si>
    <t>LinkedIn</t>
  </si>
  <si>
    <t>Shortlisted</t>
  </si>
  <si>
    <t>T003</t>
  </si>
  <si>
    <t>Offered</t>
  </si>
  <si>
    <t>T004</t>
  </si>
  <si>
    <t>Employee Referral</t>
  </si>
  <si>
    <t>T005</t>
  </si>
  <si>
    <t>Direct</t>
  </si>
  <si>
    <t>T006</t>
  </si>
  <si>
    <t>T007</t>
  </si>
  <si>
    <t>T008</t>
  </si>
  <si>
    <t>T009</t>
  </si>
  <si>
    <t>T010</t>
  </si>
  <si>
    <t>T011</t>
  </si>
  <si>
    <t>Rejected</t>
  </si>
  <si>
    <t>T012</t>
  </si>
  <si>
    <t>T013</t>
  </si>
  <si>
    <t>Indeed</t>
  </si>
  <si>
    <t>T014</t>
  </si>
  <si>
    <t>T015</t>
  </si>
  <si>
    <t>T016</t>
  </si>
  <si>
    <t>T017</t>
  </si>
  <si>
    <t>T018</t>
  </si>
  <si>
    <t>T019</t>
  </si>
  <si>
    <t>T020</t>
  </si>
  <si>
    <t>T021</t>
  </si>
  <si>
    <t>T022</t>
  </si>
  <si>
    <t>T023</t>
  </si>
  <si>
    <t>T024</t>
  </si>
  <si>
    <t>T025</t>
  </si>
  <si>
    <t>T026</t>
  </si>
  <si>
    <t>T027</t>
  </si>
  <si>
    <t>T028</t>
  </si>
  <si>
    <t>T029</t>
  </si>
  <si>
    <t>T030</t>
  </si>
  <si>
    <t>Review_ID</t>
  </si>
  <si>
    <t>Team_Lead_Supervisor</t>
  </si>
  <si>
    <t>Performance_Rating</t>
  </si>
  <si>
    <t>Attendance_Rating</t>
  </si>
  <si>
    <t>Review_Duration</t>
  </si>
  <si>
    <t>Review_Date</t>
  </si>
  <si>
    <t>R001</t>
  </si>
  <si>
    <t>6 Months</t>
  </si>
  <si>
    <t>R002</t>
  </si>
  <si>
    <t>R003</t>
  </si>
  <si>
    <t>R004</t>
  </si>
  <si>
    <t>R005</t>
  </si>
  <si>
    <t>R006</t>
  </si>
  <si>
    <t>R007</t>
  </si>
  <si>
    <t>R008</t>
  </si>
  <si>
    <t>Vikram Singh</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</si>
  <si>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</si>
  <si>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</si>
  <si>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</si>
  <si>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</si>
  <si>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</si>
  <si>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</si>
  <si>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</si>
  <si>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</si>
  <si>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</si>
  <si>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</si>
  <si>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</si>
  <si>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</si>
  <si>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</si>
  <si>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</si>
  <si>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</si>
  <si>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</si>
  <si>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</si>
  <si>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</si>
  <si>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</si>
  <si>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</si>
  <si>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</si>
  <si>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</si>
  <si>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</si>
  <si>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</si>
  <si>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</si>
  <si>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R034</t>
  </si>
  <si>
    <t>R035</t>
  </si>
  <si>
    <t>R036</t>
  </si>
  <si>
    <t>R037</t>
  </si>
  <si>
    <t>R038</t>
  </si>
  <si>
    <t>R039</t>
  </si>
  <si>
    <t>R040</t>
  </si>
  <si>
    <t>R041</t>
  </si>
  <si>
    <t>R042</t>
  </si>
  <si>
    <t>R043</t>
  </si>
  <si>
    <t>R044</t>
  </si>
  <si>
    <t>R045</t>
  </si>
  <si>
    <t>R046</t>
  </si>
  <si>
    <t>R047</t>
  </si>
  <si>
    <t>R048</t>
  </si>
  <si>
    <t>R049</t>
  </si>
  <si>
    <t>R050</t>
  </si>
  <si>
    <t>Attendance_Id</t>
  </si>
  <si>
    <t>IN_Time</t>
  </si>
  <si>
    <t>OUT_Time</t>
  </si>
  <si>
    <t>Total_Hours</t>
  </si>
  <si>
    <t>Reporting Person ID</t>
  </si>
  <si>
    <t>Row Labels</t>
  </si>
  <si>
    <t>Grand Total</t>
  </si>
  <si>
    <t>Employee Status</t>
  </si>
  <si>
    <t>Record Type</t>
  </si>
  <si>
    <t>Attrition_Complaints</t>
  </si>
  <si>
    <t>Resigned</t>
  </si>
  <si>
    <t>Attrition</t>
  </si>
  <si>
    <t>Commute time</t>
  </si>
  <si>
    <t>Personal reasons</t>
  </si>
  <si>
    <t>Career change</t>
  </si>
  <si>
    <t>Active Feedback</t>
  </si>
  <si>
    <t>Lack of career growth</t>
  </si>
  <si>
    <t/>
  </si>
  <si>
    <t>Technical training needed</t>
  </si>
  <si>
    <t>Commute issues</t>
  </si>
  <si>
    <t>None</t>
  </si>
  <si>
    <t>Request for flexible hours</t>
  </si>
  <si>
    <t>Salary market adjustment request</t>
  </si>
  <si>
    <t>Workload concerns</t>
  </si>
  <si>
    <t>Interpersonal conflict</t>
  </si>
  <si>
    <t>Swathi Krishnan</t>
  </si>
  <si>
    <t>Neha Agarwal</t>
  </si>
  <si>
    <t>Suresh Nair</t>
  </si>
  <si>
    <t>Deepak Choudhary</t>
  </si>
  <si>
    <t>Emp_ID2</t>
  </si>
  <si>
    <t>Column1</t>
  </si>
  <si>
    <t>Age</t>
  </si>
  <si>
    <t>Attrition Reasons</t>
  </si>
  <si>
    <t>Attrition Flag</t>
  </si>
  <si>
    <t>Salary</t>
  </si>
  <si>
    <t>Salary Band</t>
  </si>
  <si>
    <t>Performance Rating</t>
  </si>
  <si>
    <t>Engagement Score</t>
  </si>
  <si>
    <t>Attendance Percentage</t>
  </si>
  <si>
    <t>Absenteesim Flag</t>
  </si>
  <si>
    <t>Age Group</t>
  </si>
  <si>
    <t>36–45</t>
  </si>
  <si>
    <t>26–35</t>
  </si>
  <si>
    <t>18–25</t>
  </si>
  <si>
    <t>Date Of joining</t>
  </si>
  <si>
    <t>Aug-2023</t>
  </si>
  <si>
    <t>Nov-2022</t>
  </si>
  <si>
    <t>Jan-2022</t>
  </si>
  <si>
    <t>Sep-2022</t>
  </si>
  <si>
    <t>May-2020</t>
  </si>
  <si>
    <t>Mar-2020</t>
  </si>
  <si>
    <t>Dec-2020</t>
  </si>
  <si>
    <t>Jul-2023</t>
  </si>
  <si>
    <t>Jun-2022</t>
  </si>
  <si>
    <t>Jun-2021</t>
  </si>
  <si>
    <t>Aug-2022</t>
  </si>
  <si>
    <t>Jan-2023</t>
  </si>
  <si>
    <t>Oct-2022</t>
  </si>
  <si>
    <t>Jan-2021</t>
  </si>
  <si>
    <t>Mar-2021</t>
  </si>
  <si>
    <t>Jul-2020</t>
  </si>
  <si>
    <t>Apr-2023</t>
  </si>
  <si>
    <t>Dec-2021</t>
  </si>
  <si>
    <t>Sep-2020</t>
  </si>
  <si>
    <t>Nov-2021</t>
  </si>
  <si>
    <t>May-2021</t>
  </si>
  <si>
    <t>Jan-2020</t>
  </si>
  <si>
    <t>Jun-2023</t>
  </si>
  <si>
    <t>Oct-2023</t>
  </si>
  <si>
    <t>Feb-2021</t>
  </si>
  <si>
    <t>Mar-2023</t>
  </si>
  <si>
    <t>Sep-2021</t>
  </si>
  <si>
    <t>Oct-2020</t>
  </si>
  <si>
    <t>Absent Flag</t>
  </si>
  <si>
    <t>(blank)</t>
  </si>
  <si>
    <t>Sum of Absent Flag</t>
  </si>
  <si>
    <t>Column Labels</t>
  </si>
  <si>
    <t>NO</t>
  </si>
  <si>
    <t>YES</t>
  </si>
  <si>
    <t>TOTAL EMPLOYEES</t>
  </si>
  <si>
    <t>ACTIVE EMPLOYEES</t>
  </si>
  <si>
    <t>ATTRITION RATE</t>
  </si>
  <si>
    <t>AVG SALARY</t>
  </si>
  <si>
    <t>AVAG ENGAGEMENT</t>
  </si>
  <si>
    <t>Average of Salary</t>
  </si>
  <si>
    <t>Average of Engagement Score</t>
  </si>
  <si>
    <t>Hiring Funel Stage</t>
  </si>
  <si>
    <t>Interview Month</t>
  </si>
  <si>
    <t>Application Month</t>
  </si>
  <si>
    <t>Count of Temp_ID</t>
  </si>
  <si>
    <t>Final Stage</t>
  </si>
  <si>
    <t>In Progress</t>
  </si>
  <si>
    <t>Count of Emp_ID</t>
  </si>
  <si>
    <t>Top Attrtion Reasons</t>
  </si>
  <si>
    <t>Entry</t>
  </si>
  <si>
    <t>Junior</t>
  </si>
  <si>
    <t>Mid</t>
  </si>
  <si>
    <t>Senior</t>
  </si>
  <si>
    <t>Column2</t>
  </si>
  <si>
    <t>Employee satisfaction</t>
  </si>
  <si>
    <t>Average of Job_Satisfaction</t>
  </si>
  <si>
    <t>Appraisal Percentage</t>
  </si>
  <si>
    <t>Average of Appraisal Percentage</t>
  </si>
  <si>
    <t>KPI</t>
  </si>
  <si>
    <t>Average of Attendance Percentage</t>
  </si>
  <si>
    <t xml:space="preserve">Exit </t>
  </si>
  <si>
    <t>Slicer</t>
  </si>
  <si>
    <t>Charts (Pivot Tables)</t>
  </si>
  <si>
    <t>COUNT</t>
  </si>
  <si>
    <t>DEPARTMENT HC</t>
  </si>
  <si>
    <t>ATTRTION BY DEPARTMENT</t>
  </si>
  <si>
    <t>TOP ATTRTION REASONS</t>
  </si>
  <si>
    <t>Text</t>
  </si>
  <si>
    <t>RECRUITMENT BY DEPARTMENT</t>
  </si>
  <si>
    <t>SALARY BY BAND(JUNIOR,MID, SENIOR)</t>
  </si>
  <si>
    <t>VALUE</t>
  </si>
  <si>
    <t>JOB SATIFACTION BY DEPARTMENT</t>
  </si>
  <si>
    <t>Percentage</t>
  </si>
  <si>
    <t>MODE OF EMPLOYEMENT</t>
  </si>
  <si>
    <t xml:space="preserve">Contract </t>
  </si>
  <si>
    <t>Work from Home</t>
  </si>
  <si>
    <t>ATTENDANCE BY PERCENTAGE</t>
  </si>
  <si>
    <t>APPRAISAL BY PERCENTAGE</t>
  </si>
  <si>
    <t>PERCENTAGE</t>
  </si>
  <si>
    <t>ATTRITION HC</t>
  </si>
  <si>
    <t>HR ANALYSTICS CAPTIAL DASHBOARD</t>
  </si>
  <si>
    <t>Total Workforce</t>
  </si>
  <si>
    <t>Active Headcount</t>
  </si>
  <si>
    <t>Total Separations</t>
  </si>
  <si>
    <t>ATTRITION RATE(%)</t>
  </si>
  <si>
    <t>Average Compensation (₹)</t>
  </si>
  <si>
    <t>Employee Engagement Index (%)</t>
  </si>
  <si>
    <t>Workforce Distribution</t>
  </si>
  <si>
    <t>Employment Type Distribution</t>
  </si>
  <si>
    <t>Compensation Analysis</t>
  </si>
  <si>
    <t>Attrition Distribution</t>
  </si>
  <si>
    <t>Recruitment  Status</t>
  </si>
  <si>
    <t xml:space="preserve"> Employee Satisfaction Score(%)</t>
  </si>
  <si>
    <t>Workforce Attendance Rate (%)</t>
  </si>
  <si>
    <t>Performance Appraisal Success Rate (%)</t>
  </si>
  <si>
    <t>Employee_1</t>
  </si>
  <si>
    <t>Employee_2</t>
  </si>
  <si>
    <t>Employee_3</t>
  </si>
  <si>
    <t>Employee_4</t>
  </si>
  <si>
    <t>Employee_5</t>
  </si>
  <si>
    <t>Employee_6</t>
  </si>
  <si>
    <t>Employee_7</t>
  </si>
  <si>
    <t>Employee_8</t>
  </si>
  <si>
    <t>Employee_9</t>
  </si>
  <si>
    <t>Employee_10</t>
  </si>
  <si>
    <t>Employee_11</t>
  </si>
  <si>
    <t>Employee_12</t>
  </si>
  <si>
    <t>Employee_13</t>
  </si>
  <si>
    <t>Employee_14</t>
  </si>
  <si>
    <t>Employee_15</t>
  </si>
  <si>
    <t>Employee_16</t>
  </si>
  <si>
    <t>Employee_17</t>
  </si>
  <si>
    <t>Employee_18</t>
  </si>
  <si>
    <t>Employee_19</t>
  </si>
  <si>
    <t>Employee_20</t>
  </si>
  <si>
    <t>Employee_21</t>
  </si>
  <si>
    <t>Employee_22</t>
  </si>
  <si>
    <t>Employee_23</t>
  </si>
  <si>
    <t>Employee_24</t>
  </si>
  <si>
    <t>Employee_25</t>
  </si>
  <si>
    <t>Employee_26</t>
  </si>
  <si>
    <t>Employee_27</t>
  </si>
  <si>
    <t>Employee_28</t>
  </si>
  <si>
    <t>Employee_29</t>
  </si>
  <si>
    <t>Employee_30</t>
  </si>
  <si>
    <t>Employee_31</t>
  </si>
  <si>
    <t>Employee_32</t>
  </si>
  <si>
    <t>Employee_33</t>
  </si>
  <si>
    <t>Employee_34</t>
  </si>
  <si>
    <t>Employee_35</t>
  </si>
  <si>
    <t>Employee_36</t>
  </si>
  <si>
    <t>Employee_37</t>
  </si>
  <si>
    <t>Employee_38</t>
  </si>
  <si>
    <t>Employee_39</t>
  </si>
  <si>
    <t>Employee_40</t>
  </si>
  <si>
    <t>Employee_41</t>
  </si>
  <si>
    <t>Employee_42</t>
  </si>
  <si>
    <t>Employee_43</t>
  </si>
  <si>
    <t>Employee_44</t>
  </si>
  <si>
    <t>Employee_45</t>
  </si>
  <si>
    <t>Employee_46</t>
  </si>
  <si>
    <t>Employee_47</t>
  </si>
  <si>
    <t>Employee_48</t>
  </si>
  <si>
    <t>Employee_49</t>
  </si>
  <si>
    <t>Employee_50</t>
  </si>
  <si>
    <t>Designation2</t>
  </si>
  <si>
    <t>Resignation_Date2</t>
  </si>
  <si>
    <t>LastWorking_Date3</t>
  </si>
  <si>
    <t>Gender HC</t>
  </si>
  <si>
    <t>GENDER DEPARTMENT</t>
  </si>
  <si>
    <t>Gauge Style</t>
  </si>
  <si>
    <t>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</si>
</sst>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_ [$₹-4009]\ * #,##0_ ;_ [$₹-4009]\ * \-#,##0_ ;_ [$₹-4009]\ * &quot;-&quot;??_ ;_ @_ "/>
    <numFmt numFmtId="166" formatCode="[$₹-4009]\ #,##0"/>
  </numFmts>
  <fonts count="6" x14ac:knownFonts="1">
    <font>
      <sz val="11"/>
      <color theme="1"/>
      <name val="Calibri"/>
      <family val="2"/>
      <scheme val="minor"/>
    </font>
    <font>
      <sz val="10"/>
      <color theme="1"/>
      <name val="Arial"/>
      <family val="2"/>
    </font>
    <font>
      <sz val="8"/>
      <name val="Calibri"/>
      <family val="2"/>
      <scheme val="minor"/>
    </font>
    <font>
      <sz val="11"/>
      <color theme="1"/>
      <name val="Calibri"/>
      <family val="2"/>
      <scheme val="minor"/>
    </font>
    <font>
      <b/>
      <sz val="11"/>
      <color rgb="FFFF0000"/>
      <name val="Calibri"/>
      <family val="2"/>
      <scheme val="minor"/>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2060"/>
        <bgColor indexed="64"/>
      </patternFill>
    </fill>
  </fills>
  <borders count="19">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56">
    <xf numFmtId="0" fontId="0" fillId="0" borderId="0" xfId="0"/>
    <xf numFmtId="14" fontId="0" fillId="0" borderId="0" xfId="0" applyNumberFormat="1"/>
    <xf numFmtId="164" fontId="0" fillId="0" borderId="0" xfId="0" applyNumberFormat="1"/>
    <xf numFmtId="0" fontId="0" fillId="0" borderId="0" xfId="0" applyAlignment="1">
      <alignment horizontal="center"/>
    </xf>
    <xf numFmtId="0" fontId="1" fillId="0" borderId="1" xfId="0" applyFont="1" applyBorder="1" applyAlignment="1">
      <alignment horizontal="center" wrapText="1"/>
    </xf>
    <xf numFmtId="0" fontId="1" fillId="0" borderId="1" xfId="0" applyFont="1" applyBorder="1" applyAlignment="1">
      <alignment horizontal="center" vertical="center"/>
    </xf>
    <xf numFmtId="14" fontId="0" fillId="0" borderId="0" xfId="0" applyNumberFormat="1" applyAlignment="1">
      <alignment horizontal="center"/>
    </xf>
    <xf numFmtId="0" fontId="0" fillId="0" borderId="0" xfId="0" applyAlignment="1">
      <alignment horizontal="center" vertical="center"/>
    </xf>
    <xf numFmtId="0" fontId="0" fillId="0" borderId="0" xfId="0" pivotButton="1"/>
    <xf numFmtId="0" fontId="0" fillId="0" borderId="0" xfId="0" applyAlignment="1">
      <alignment horizontal="left"/>
    </xf>
    <xf numFmtId="14" fontId="0" fillId="0" borderId="0" xfId="0" applyNumberFormat="1" applyAlignment="1">
      <alignment horizontal="center" vertical="center"/>
    </xf>
    <xf numFmtId="165" fontId="0" fillId="0" borderId="0" xfId="0" applyNumberFormat="1" applyAlignment="1">
      <alignment horizontal="center" vertical="center"/>
    </xf>
    <xf numFmtId="9" fontId="0" fillId="0" borderId="0" xfId="1" applyFont="1" applyAlignment="1">
      <alignment horizontal="center" vertical="center"/>
    </xf>
    <xf numFmtId="9" fontId="0" fillId="0" borderId="0" xfId="1" applyFont="1" applyAlignment="1">
      <alignment horizontal="center"/>
    </xf>
    <xf numFmtId="9" fontId="0" fillId="0" borderId="0" xfId="0" applyNumberFormat="1" applyAlignment="1">
      <alignment horizontal="center"/>
    </xf>
    <xf numFmtId="0" fontId="0" fillId="0" borderId="0" xfId="0" applyAlignment="1">
      <alignment horizontal="left" indent="1"/>
    </xf>
    <xf numFmtId="0" fontId="0" fillId="2" borderId="0" xfId="0" applyFill="1"/>
    <xf numFmtId="9" fontId="4" fillId="0" borderId="0" xfId="1" applyFont="1" applyAlignment="1"/>
    <xf numFmtId="1" fontId="0" fillId="0" borderId="0" xfId="1" applyNumberFormat="1" applyFont="1" applyAlignment="1">
      <alignment horizontal="center"/>
    </xf>
    <xf numFmtId="0" fontId="5" fillId="0" borderId="0" xfId="0" applyFont="1"/>
    <xf numFmtId="0" fontId="4" fillId="0" borderId="0" xfId="0" applyFont="1" applyAlignment="1">
      <alignment horizontal="center"/>
    </xf>
    <xf numFmtId="9" fontId="4" fillId="0" borderId="0" xfId="1" applyFont="1" applyAlignment="1">
      <alignment horizontal="center"/>
    </xf>
    <xf numFmtId="166" fontId="4" fillId="0" borderId="0" xfId="0" applyNumberFormat="1" applyFont="1" applyAlignment="1">
      <alignment horizontal="center"/>
    </xf>
    <xf numFmtId="9" fontId="4" fillId="0" borderId="0" xfId="0" applyNumberFormat="1" applyFont="1" applyAlignment="1">
      <alignment horizontal="center"/>
    </xf>
    <xf numFmtId="0" fontId="5" fillId="2" borderId="0" xfId="0" applyFont="1" applyFill="1" applyAlignment="1">
      <alignment horizontal="center"/>
    </xf>
    <xf numFmtId="9" fontId="0" fillId="0" borderId="0" xfId="0" applyNumberFormat="1"/>
    <xf numFmtId="0" fontId="4" fillId="3" borderId="2" xfId="0" applyFont="1" applyFill="1" applyBorder="1" applyAlignment="1">
      <alignment horizontal="center"/>
    </xf>
    <xf numFmtId="0" fontId="4" fillId="3" borderId="3" xfId="0" applyFont="1" applyFill="1" applyBorder="1"/>
    <xf numFmtId="0" fontId="0" fillId="0" borderId="3" xfId="0" applyBorder="1"/>
    <xf numFmtId="0" fontId="0" fillId="0" borderId="4" xfId="0" applyBorder="1"/>
    <xf numFmtId="0" fontId="5" fillId="0" borderId="5" xfId="0" applyFont="1" applyBorder="1"/>
    <xf numFmtId="0" fontId="5" fillId="0" borderId="6" xfId="0" applyFont="1" applyBorder="1"/>
    <xf numFmtId="0" fontId="0" fillId="0" borderId="5" xfId="0" applyBorder="1"/>
    <xf numFmtId="0" fontId="0" fillId="0" borderId="7" xfId="0" applyBorder="1"/>
    <xf numFmtId="0" fontId="5" fillId="0" borderId="8" xfId="0" applyFont="1" applyBorder="1"/>
    <xf numFmtId="0" fontId="5" fillId="0" borderId="9" xfId="0" applyFont="1" applyBorder="1"/>
    <xf numFmtId="0" fontId="4" fillId="3" borderId="3" xfId="0" applyFont="1" applyFill="1" applyBorder="1" applyAlignment="1">
      <alignment horizontal="center"/>
    </xf>
    <xf numFmtId="0" fontId="0" fillId="0" borderId="8" xfId="0" applyBorder="1"/>
    <xf numFmtId="0" fontId="5" fillId="4" borderId="0" xfId="0" applyFont="1" applyFill="1"/>
    <xf numFmtId="0" fontId="5" fillId="4" borderId="8" xfId="0" applyFont="1" applyFill="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5" borderId="0" xfId="0" applyFill="1"/>
    <xf numFmtId="1" fontId="0" fillId="0" borderId="0" xfId="0" applyNumberFormat="1" applyAlignment="1">
      <alignment horizontal="center"/>
    </xf>
    <xf numFmtId="0" fontId="5" fillId="2" borderId="0" xfId="0" applyFont="1" applyFill="1"/>
    <xf numFmtId="0" fontId="0" fillId="6" borderId="0" xfId="0" applyFill="1"/>
    <xf numFmtId="165" fontId="0" fillId="0" borderId="0" xfId="0" applyNumberFormat="1"/>
    <xf numFmtId="1" fontId="0" fillId="0" borderId="0" xfId="0" applyNumberFormat="1"/>
    <xf numFmtId="0" fontId="0" fillId="6" borderId="0" xfId="0" applyFill="1" applyAlignment="1">
      <alignment horizontal="center"/>
    </xf>
  </cellXfs>
  <cellStyles count="2">
    <cellStyle name="Normal" xfId="0" builtinId="0"/>
    <cellStyle name="Percent" xfId="1" builtinId="5"/>
  </cellStyles>
  <dxfs count="173">
    <dxf>
      <numFmt numFmtId="164" formatCode="[$-F400]h:mm:ss\ AM/PM"/>
    </dxf>
    <dxf>
      <numFmt numFmtId="164" formatCode="[$-F400]h:mm:ss\ AM/PM"/>
    </dxf>
    <dxf>
      <numFmt numFmtId="164" formatCode="[$-F400]h:mm:ss\ AM/PM"/>
    </dxf>
    <dxf>
      <numFmt numFmtId="19" formatCode="m/d/yyyy"/>
      <alignment horizontal="center" vertical="bottom" textRotation="0" wrapText="0" indent="0" justifyLastLine="0" shrinkToFit="0" readingOrder="0"/>
    </dxf>
    <dxf>
      <numFmt numFmtId="0" formatCode="General"/>
    </dxf>
    <dxf>
      <numFmt numFmtId="0" formatCode="General"/>
    </dxf>
    <dxf>
      <numFmt numFmtId="19" formatCode="m/d/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m/d/yyyy"/>
    </dxf>
    <dxf>
      <numFmt numFmtId="0" formatCode="General"/>
    </dxf>
    <dxf>
      <numFmt numFmtId="0" formatCode="General"/>
      <alignment horizontal="center" vertical="bottom" textRotation="0" wrapText="0" indent="0" justifyLastLine="0" shrinkToFit="0" readingOrder="0"/>
    </dxf>
    <dxf>
      <numFmt numFmtId="0" formatCode="General"/>
    </dxf>
    <dxf>
      <numFmt numFmtId="19" formatCode="m/d/yyyy"/>
    </dxf>
    <dxf>
      <numFmt numFmtId="0" formatCode="General"/>
    </dxf>
    <dxf>
      <numFmt numFmtId="0" formatCode="General"/>
    </dxf>
    <dxf>
      <numFmt numFmtId="2" formatCode="0.00"/>
      <alignment horizontal="center" vertical="bottom" textRotation="0" wrapText="0" indent="0" justifyLastLine="0" shrinkToFit="0" readingOrder="0"/>
    </dxf>
    <dxf>
      <numFmt numFmtId="19" formatCode="m/d/yyyy"/>
    </dxf>
    <dxf>
      <numFmt numFmtId="0" formatCode="Genera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sz val="10"/>
        <name val="Arial"/>
        <family val="2"/>
        <scheme val="none"/>
      </font>
      <numFmt numFmtId="0" formatCode="General"/>
      <alignment horizontal="center"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0" formatCode="General"/>
      <alignment horizontal="center" vertical="bottom" textRotation="0" wrapText="0" indent="0" justifyLastLine="0" shrinkToFit="0" readingOrder="0"/>
    </dxf>
    <dxf>
      <fill>
        <patternFill patternType="solid">
          <bgColor rgb="FFFFFF00"/>
        </patternFill>
      </fill>
    </dxf>
    <dxf>
      <alignment horizontal="center"/>
    </dxf>
    <dxf>
      <alignment horizontal="center"/>
    </dxf>
    <dxf>
      <fill>
        <patternFill patternType="solid">
          <bgColor rgb="FFFFFF00"/>
        </patternFill>
      </fill>
    </dxf>
    <dxf>
      <fill>
        <patternFill patternType="solid">
          <bgColor rgb="FFFFFF00"/>
        </patternFill>
      </fill>
    </dxf>
    <dxf>
      <alignment horizontal="general"/>
    </dxf>
    <dxf>
      <fill>
        <patternFill patternType="solid">
          <bgColor rgb="FFFFFF00"/>
        </patternFill>
      </fill>
    </dxf>
    <dxf>
      <alignment horizontal="center"/>
    </dxf>
    <dxf>
      <fill>
        <patternFill patternType="solid">
          <bgColor rgb="FFFFFF00"/>
        </patternFill>
      </fill>
    </dxf>
    <dxf>
      <alignment horizontal="center"/>
    </dxf>
    <dxf>
      <alignment horizontal="center"/>
    </dxf>
    <dxf>
      <alignment horizontal="center"/>
    </dxf>
    <dxf>
      <alignment horizontal="general"/>
    </dxf>
    <dxf>
      <alignment horizontal="general"/>
    </dxf>
    <dxf>
      <alignment horizontal="general"/>
    </dxf>
    <dxf>
      <fill>
        <patternFill patternType="solid">
          <bgColor rgb="FFFFFF00"/>
        </patternFill>
      </fill>
    </dxf>
    <dxf>
      <fill>
        <patternFill patternType="solid">
          <bgColor rgb="FFFFFF00"/>
        </patternFill>
      </fill>
    </dxf>
    <dxf>
      <fill>
        <patternFill patternType="none">
          <bgColor auto="1"/>
        </patternFill>
      </fill>
    </dxf>
    <dxf>
      <fill>
        <patternFill patternType="solid">
          <bgColor rgb="FFFFFF00"/>
        </patternFill>
      </fill>
    </dxf>
    <dxf>
      <alignment horizontal="general"/>
    </dxf>
    <dxf>
      <alignment horizontal="general"/>
    </dxf>
    <dxf>
      <fill>
        <patternFill patternType="solid">
          <bgColor rgb="FFFFFF00"/>
        </patternFill>
      </fill>
    </dxf>
    <dxf>
      <fill>
        <patternFill patternType="solid">
          <bgColor rgb="FFFFFF00"/>
        </patternFill>
      </fill>
    </dxf>
    <dxf>
      <numFmt numFmtId="13" formatCode="0%"/>
    </dxf>
    <dxf>
      <numFmt numFmtId="13" formatCode="0%"/>
    </dxf>
    <dxf>
      <numFmt numFmtId="14" formatCode="0.00%"/>
    </dxf>
    <dxf>
      <numFmt numFmtId="1" formatCode="0"/>
    </dxf>
    <dxf>
      <numFmt numFmtId="1" formatCode="0"/>
    </dxf>
    <dxf>
      <alignment horizontal="center"/>
    </dxf>
    <dxf>
      <alignment horizontal="center"/>
    </dxf>
    <dxf>
      <numFmt numFmtId="13" formatCode="0%"/>
    </dxf>
    <dxf>
      <fill>
        <patternFill patternType="solid">
          <bgColor rgb="FFFFFF00"/>
        </patternFill>
      </fill>
    </dxf>
    <dxf>
      <numFmt numFmtId="1" formatCode="0"/>
    </dxf>
    <dxf>
      <alignment horizontal="general"/>
    </dxf>
    <dxf>
      <alignment horizontal="general"/>
    </dxf>
    <dxf>
      <fill>
        <patternFill patternType="solid">
          <bgColor rgb="FFFFFF00"/>
        </patternFill>
      </fill>
    </dxf>
    <dxf>
      <fill>
        <patternFill patternType="solid">
          <bgColor rgb="FFFFFF00"/>
        </patternFill>
      </fill>
    </dxf>
    <dxf>
      <fill>
        <patternFill patternType="none">
          <bgColor auto="1"/>
        </patternFill>
      </fill>
    </dxf>
    <dxf>
      <fill>
        <patternFill patternType="solid">
          <bgColor rgb="FFFFFF00"/>
        </patternFill>
      </fill>
    </dxf>
    <dxf>
      <alignment horizontal="general"/>
    </dxf>
    <dxf>
      <alignment horizontal="general"/>
    </dxf>
    <dxf>
      <fill>
        <patternFill patternType="solid">
          <bgColor rgb="FFFFFF00"/>
        </patternFill>
      </fill>
    </dxf>
    <dxf>
      <alignment horizontal="general"/>
    </dxf>
    <dxf>
      <alignment horizontal="general"/>
    </dxf>
    <dxf>
      <fill>
        <patternFill patternType="solid">
          <bgColor rgb="FFFFFF00"/>
        </patternFill>
      </fill>
    </dxf>
    <dxf>
      <alignment horizontal="center"/>
    </dxf>
    <dxf>
      <alignment horizontal="center"/>
    </dxf>
    <dxf>
      <fill>
        <patternFill patternType="solid">
          <bgColor rgb="FFFFFF00"/>
        </patternFill>
      </fill>
    </dxf>
    <dxf>
      <fill>
        <patternFill patternType="solid">
          <bgColor rgb="FFFFC000"/>
        </patternFill>
      </fill>
    </dxf>
    <dxf>
      <fill>
        <patternFill patternType="solid">
          <bgColor rgb="FFFFC000"/>
        </patternFill>
      </fill>
    </dxf>
    <dxf>
      <numFmt numFmtId="1" formatCode="0"/>
    </dxf>
    <dxf>
      <alignment horizontal="center"/>
    </dxf>
    <dxf>
      <alignment horizontal="center"/>
    </dxf>
    <dxf>
      <fill>
        <patternFill patternType="none">
          <bgColor auto="1"/>
        </patternFill>
      </fill>
    </dxf>
    <dxf>
      <fill>
        <patternFill patternType="solid">
          <bgColor rgb="FFFFFF00"/>
        </patternFill>
      </fill>
    </dxf>
    <dxf>
      <alignment horizontal="general"/>
    </dxf>
    <dxf>
      <fill>
        <patternFill patternType="solid">
          <bgColor rgb="FFFFFF00"/>
        </patternFill>
      </fill>
    </dxf>
    <dxf>
      <fill>
        <patternFill patternType="solid">
          <bgColor rgb="FFFFFF00"/>
        </patternFill>
      </fill>
    </dxf>
    <dxf>
      <alignment horizontal="general"/>
    </dxf>
    <dxf>
      <alignment horizontal="general"/>
    </dxf>
    <dxf>
      <fill>
        <patternFill patternType="solid">
          <bgColor rgb="FFFFFF00"/>
        </patternFill>
      </fill>
    </dxf>
    <dxf>
      <fill>
        <patternFill patternType="solid">
          <bgColor rgb="FFFFFF00"/>
        </patternFill>
      </fill>
    </dxf>
    <dxf>
      <alignment horizontal="center"/>
    </dxf>
    <dxf>
      <fill>
        <patternFill patternType="none">
          <bgColor auto="1"/>
        </patternFill>
      </fill>
    </dxf>
    <dxf>
      <fill>
        <patternFill patternType="solid">
          <bgColor rgb="FFFFFF00"/>
        </patternFill>
      </fill>
    </dxf>
    <dxf>
      <alignment horizontal="general"/>
    </dxf>
    <dxf>
      <alignment horizontal="general"/>
    </dxf>
    <dxf>
      <fill>
        <patternFill patternType="solid">
          <bgColor rgb="FFFFFF00"/>
        </patternFill>
      </fill>
    </dxf>
    <dxf>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5" formatCode="_ [$₹-4009]\ * #,##0_ ;_ [$₹-4009]\ * \-#,##0_ ;_ [$₹-4009]\ * &quot;-&quot;??_ ;_ @_ "/>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numFmt numFmtId="0" formatCode="General"/>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dxf>
    <dxf>
      <numFmt numFmtId="19" formatCode="m/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0" formatCode="General"/>
    </dxf>
    <dxf>
      <numFmt numFmtId="0" formatCode="General"/>
      <alignment horizontal="center" vertical="center" textRotation="0" wrapText="0" indent="0" justifyLastLine="0" shrinkToFit="0" readingOrder="0"/>
    </dxf>
    <dxf>
      <alignment horizontal="center" vertical="center" textRotation="0" indent="0" justifyLastLine="0" shrinkToFit="0" readingOrder="0"/>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BEF3FE"/>
      <color rgb="FF66FFCC"/>
      <color rgb="FFE79113"/>
      <color rgb="FF003618"/>
      <color rgb="FFFF0066"/>
      <color rgb="FFF0AB46"/>
      <color rgb="FF440599"/>
      <color rgb="FFFF9999"/>
      <color rgb="FF99FF33"/>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Capstone.xlsx]PIVOT TABLE!PivotTable15</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GENDER HEAD</a:t>
            </a:r>
            <a:r>
              <a:rPr lang="en-US" b="1" baseline="0">
                <a:solidFill>
                  <a:schemeClr val="tx1"/>
                </a:solidFill>
              </a:rPr>
              <a:t> COUNT</a:t>
            </a:r>
            <a:endParaRPr lang="en-US" b="1">
              <a:solidFill>
                <a:schemeClr val="tx1"/>
              </a:solidFill>
            </a:endParaRPr>
          </a:p>
        </c:rich>
      </c:tx>
      <c:layout>
        <c:manualLayout>
          <c:xMode val="edge"/>
          <c:yMode val="edge"/>
          <c:x val="0.15303011678472578"/>
          <c:y val="7.86436372872745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676767676767677"/>
              <c:y val="-8.66666666666666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6161616161616163"/>
              <c:y val="0.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676767676767677"/>
              <c:y val="-8.66666666666666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161616161616163"/>
              <c:y val="0.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8189602261255794"/>
              <c:y val="-0.125376682753365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15:layout>
                <c:manualLayout>
                  <c:w val="0.29106157884110639"/>
                  <c:h val="0.38529032258064516"/>
                </c:manualLayout>
              </c15:layout>
            </c:ext>
          </c:extLst>
        </c:dLbl>
      </c:pivotFmt>
      <c:pivotFmt>
        <c:idx val="8"/>
        <c:spPr>
          <a:solidFill>
            <a:schemeClr val="accent1"/>
          </a:solidFill>
          <a:ln w="19050">
            <a:solidFill>
              <a:schemeClr val="lt1"/>
            </a:solidFill>
          </a:ln>
          <a:effectLst/>
        </c:spPr>
        <c:dLbl>
          <c:idx val="0"/>
          <c:layout>
            <c:manualLayout>
              <c:x val="-0.21767190616650062"/>
              <c:y val="9.99998212980551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'PIVOT TABLE'!$O$29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3B-4E3E-A8D1-1AC94B8C53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3B-4E3E-A8D1-1AC94B8C538C}"/>
              </c:ext>
            </c:extLst>
          </c:dPt>
          <c:dLbls>
            <c:dLbl>
              <c:idx val="0"/>
              <c:layout>
                <c:manualLayout>
                  <c:x val="0.18189602261255794"/>
                  <c:y val="-0.1253766827533655"/>
                </c:manualLayout>
              </c:layout>
              <c:showLegendKey val="1"/>
              <c:showVal val="1"/>
              <c:showCatName val="1"/>
              <c:showSerName val="0"/>
              <c:showPercent val="0"/>
              <c:showBubbleSize val="0"/>
              <c:separator>
</c:separator>
              <c:extLst>
                <c:ext xmlns:c15="http://schemas.microsoft.com/office/drawing/2012/chart" uri="{CE6537A1-D6FC-4f65-9D91-7224C49458BB}">
                  <c15:layout>
                    <c:manualLayout>
                      <c:w val="0.29106157884110639"/>
                      <c:h val="0.38529032258064516"/>
                    </c:manualLayout>
                  </c15:layout>
                </c:ext>
                <c:ext xmlns:c16="http://schemas.microsoft.com/office/drawing/2014/chart" uri="{C3380CC4-5D6E-409C-BE32-E72D297353CC}">
                  <c16:uniqueId val="{00000001-483B-4E3E-A8D1-1AC94B8C538C}"/>
                </c:ext>
              </c:extLst>
            </c:dLbl>
            <c:dLbl>
              <c:idx val="1"/>
              <c:layout>
                <c:manualLayout>
                  <c:x val="-0.21767190616650062"/>
                  <c:y val="9.999982129805518E-2"/>
                </c:manualLayout>
              </c:layou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483B-4E3E-A8D1-1AC94B8C538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0"/>
            <c:showPercent val="0"/>
            <c:showBubbleSize val="0"/>
            <c:separator>
</c:separator>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'PIVOT TABLE'!$N$30:$N$32</c:f>
              <c:strCache>
                <c:ptCount val="2"/>
                <c:pt idx="0">
                  <c:v>Female</c:v>
                </c:pt>
                <c:pt idx="1">
                  <c:v>Male</c:v>
                </c:pt>
              </c:strCache>
            </c:strRef>
          </c:cat>
          <c:val>
            <c:numRef>
              <c:f>'PIVOT TABLE'!$O$30:$O$32</c:f>
              <c:numCache>
                <c:formatCode>General</c:formatCode>
                <c:ptCount val="2"/>
                <c:pt idx="0">
                  <c:v>16</c:v>
                </c:pt>
                <c:pt idx="1">
                  <c:v>24</c:v>
                </c:pt>
              </c:numCache>
            </c:numRef>
          </c:val>
          <c:extLst>
            <c:ext xmlns:c16="http://schemas.microsoft.com/office/drawing/2014/chart" uri="{C3380CC4-5D6E-409C-BE32-E72D297353CC}">
              <c16:uniqueId val="{00000004-483B-4E3E-A8D1-1AC94B8C538C}"/>
            </c:ext>
          </c:extLst>
        </c:ser>
        <c:dLbls>
          <c:showLegendKey val="0"/>
          <c:showVal val="1"/>
          <c:showCatName val="0"/>
          <c:showSerName val="0"/>
          <c:showPercent val="0"/>
          <c:showBubbleSize val="0"/>
          <c:showLeaderLines val="1"/>
        </c:dLbls>
        <c:firstSliceAng val="0"/>
        <c:holeSize val="2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solidFill>
      <a:round/>
    </a:ln>
    <a:effectLst>
      <a:glow rad="63500">
        <a:schemeClr val="accent5">
          <a:satMod val="175000"/>
          <a:alpha val="40000"/>
        </a:schemeClr>
      </a:glow>
      <a:outerShdw blurRad="50800" dist="38100" dir="5400000" algn="t" rotWithShape="0">
        <a:schemeClr val="accent5">
          <a:lumMod val="60000"/>
          <a:lumOff val="40000"/>
          <a:alpha val="50000"/>
        </a:scheme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Capstone.xlsx]PIVOT TABLE!PivotTable13</c:name>
    <c:fmtId val="21"/>
  </c:pivotSource>
  <c:chart>
    <c:title>
      <c:tx>
        <c:rich>
          <a:bodyPr rot="0" spcFirstLastPara="1" vertOverflow="ellipsis" vert="horz" wrap="square" anchor="ctr" anchorCtr="1"/>
          <a:lstStyle/>
          <a:p>
            <a:pPr>
              <a:defRPr sz="1200" b="1" i="0" u="none" strike="noStrike" kern="1200" cap="all" spc="50" baseline="0">
                <a:solidFill>
                  <a:srgbClr val="002060"/>
                </a:solidFill>
                <a:latin typeface="+mn-lt"/>
                <a:ea typeface="+mn-ea"/>
                <a:cs typeface="+mn-cs"/>
              </a:defRPr>
            </a:pPr>
            <a:r>
              <a:rPr lang="en-US" sz="1200" b="1">
                <a:solidFill>
                  <a:srgbClr val="002060"/>
                </a:solidFill>
              </a:rPr>
              <a:t>Employment Type Distribution %</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rgbClr val="002060"/>
              </a:solidFill>
              <a:latin typeface="+mn-lt"/>
              <a:ea typeface="+mn-ea"/>
              <a:cs typeface="+mn-cs"/>
            </a:defRPr>
          </a:pPr>
          <a:endParaRPr lang="en-US"/>
        </a:p>
      </c:txPr>
    </c:title>
    <c:autoTitleDeleted val="0"/>
    <c:pivotFmts>
      <c:pivotFmt>
        <c:idx val="0"/>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clip" horzOverflow="clip" vert="horz" wrap="square" lIns="36576" tIns="18288" rIns="0" bIns="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dLbl>
          <c:idx val="0"/>
          <c:layout>
            <c:manualLayout>
              <c:x val="5.4560954816709292E-2"/>
              <c:y val="0"/>
            </c:manualLayout>
          </c:layout>
          <c:spPr>
            <a:noFill/>
            <a:ln>
              <a:noFill/>
            </a:ln>
            <a:effectLst/>
          </c:spPr>
          <c:txPr>
            <a:bodyPr rot="0" spcFirstLastPara="1" vertOverflow="clip" horzOverflow="clip" vert="horz" wrap="square" lIns="36576" tIns="18288" rIns="0" bIns="0" anchor="ctr" anchorCtr="1">
              <a:spAutoFit/>
            </a:bodyPr>
            <a:lstStyle/>
            <a:p>
              <a:pPr>
                <a:defRPr sz="1100" b="1" i="0" u="none" strike="noStrike" kern="1200" baseline="0">
                  <a:solidFill>
                    <a:schemeClr val="bg1"/>
                  </a:solidFill>
                  <a:latin typeface="+mn-lt"/>
                  <a:ea typeface="+mn-ea"/>
                  <a:cs typeface="+mn-cs"/>
                </a:defRPr>
              </a:pPr>
              <a:endParaRPr lang="en-US"/>
            </a:p>
          </c:txPr>
          <c:showLegendKey val="1"/>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clip" horzOverflow="clip" vert="horz" wrap="square" lIns="36576" tIns="18288" rIns="0" bIns="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clip" horzOverflow="clip" vert="horz" wrap="square" lIns="36576" tIns="18288" rIns="0" bIns="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pivotFmt>
      <c:pivotFmt>
        <c:idx val="13"/>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pivotFmt>
      <c:pivotFmt>
        <c:idx val="15"/>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5.5934266818211849E-2"/>
          <c:y val="0.26707317793355206"/>
          <c:w val="0.37053618487348144"/>
          <c:h val="0.61637289769426074"/>
        </c:manualLayout>
      </c:layout>
      <c:doughnutChart>
        <c:varyColors val="1"/>
        <c:ser>
          <c:idx val="0"/>
          <c:order val="0"/>
          <c:tx>
            <c:strRef>
              <c:f>'PIVOT TABLE'!$L$18</c:f>
              <c:strCache>
                <c:ptCount val="1"/>
                <c:pt idx="0">
                  <c:v>Total</c:v>
                </c:pt>
              </c:strCache>
            </c:strRef>
          </c:tx>
          <c:spPr>
            <a:effectLst>
              <a:outerShdw blurRad="50800" dist="38100" dir="5400000" algn="t" rotWithShape="0">
                <a:schemeClr val="accent5">
                  <a:lumMod val="20000"/>
                  <a:lumOff val="80000"/>
                  <a:alpha val="40000"/>
                </a:schemeClr>
              </a:outerShdw>
            </a:effectLst>
          </c:spPr>
          <c:dPt>
            <c:idx val="0"/>
            <c:bubble3D val="0"/>
            <c:spPr>
              <a:solidFill>
                <a:schemeClr val="accent6"/>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C18-4714-A2BE-CB00BC7ADDAF}"/>
              </c:ext>
            </c:extLst>
          </c:dPt>
          <c:dPt>
            <c:idx val="1"/>
            <c:bubble3D val="0"/>
            <c:spPr>
              <a:solidFill>
                <a:schemeClr val="accent5"/>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C18-4714-A2BE-CB00BC7ADDAF}"/>
              </c:ext>
            </c:extLst>
          </c:dPt>
          <c:dPt>
            <c:idx val="2"/>
            <c:bubble3D val="0"/>
            <c:spPr>
              <a:solidFill>
                <a:schemeClr val="accent4"/>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C18-4714-A2BE-CB00BC7ADDAF}"/>
              </c:ext>
            </c:extLst>
          </c:dPt>
          <c:dPt>
            <c:idx val="3"/>
            <c:bubble3D val="0"/>
            <c:spPr>
              <a:solidFill>
                <a:schemeClr val="accent6">
                  <a:lumMod val="60000"/>
                </a:schemeClr>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C18-4714-A2BE-CB00BC7ADDAF}"/>
              </c:ext>
            </c:extLst>
          </c:dPt>
          <c:dPt>
            <c:idx val="4"/>
            <c:bubble3D val="0"/>
            <c:spPr>
              <a:solidFill>
                <a:schemeClr val="accent5">
                  <a:lumMod val="60000"/>
                </a:schemeClr>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BC18-4714-A2BE-CB00BC7ADDAF}"/>
              </c:ext>
            </c:extLst>
          </c:dPt>
          <c:dPt>
            <c:idx val="5"/>
            <c:bubble3D val="0"/>
            <c:spPr>
              <a:solidFill>
                <a:schemeClr val="accent4">
                  <a:lumMod val="60000"/>
                </a:schemeClr>
              </a:solidFill>
              <a:ln>
                <a:noFill/>
              </a:ln>
              <a:effectLst>
                <a:outerShdw blurRad="50800" dist="38100" dir="5400000" algn="t" rotWithShape="0">
                  <a:schemeClr val="accent5">
                    <a:lumMod val="20000"/>
                    <a:lumOff val="80000"/>
                    <a:alpha val="40000"/>
                  </a:scheme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BC18-4714-A2BE-CB00BC7ADDAF}"/>
              </c:ext>
            </c:extLst>
          </c:dPt>
          <c:dLbls>
            <c:spPr>
              <a:noFill/>
              <a:ln>
                <a:noFill/>
              </a:ln>
              <a:effectLst/>
            </c:spPr>
            <c:txPr>
              <a:bodyPr rot="0" spcFirstLastPara="1" vertOverflow="clip" horzOverflow="clip" vert="horz" wrap="square" lIns="36576" tIns="18288" rIns="0" bIns="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'PIVOT TABLE'!$K$19:$K$27</c:f>
              <c:multiLvlStrCache>
                <c:ptCount val="6"/>
                <c:lvl>
                  <c:pt idx="0">
                    <c:v>Hybrid</c:v>
                  </c:pt>
                  <c:pt idx="1">
                    <c:v>Office</c:v>
                  </c:pt>
                  <c:pt idx="2">
                    <c:v>Work From Home</c:v>
                  </c:pt>
                  <c:pt idx="3">
                    <c:v>Hybrid</c:v>
                  </c:pt>
                  <c:pt idx="4">
                    <c:v>Office</c:v>
                  </c:pt>
                  <c:pt idx="5">
                    <c:v>Work From Home</c:v>
                  </c:pt>
                </c:lvl>
                <c:lvl>
                  <c:pt idx="0">
                    <c:v>Contract</c:v>
                  </c:pt>
                  <c:pt idx="3">
                    <c:v>Permanent</c:v>
                  </c:pt>
                </c:lvl>
              </c:multiLvlStrCache>
            </c:multiLvlStrRef>
          </c:cat>
          <c:val>
            <c:numRef>
              <c:f>'PIVOT TABLE'!$L$19:$L$27</c:f>
              <c:numCache>
                <c:formatCode>General</c:formatCode>
                <c:ptCount val="6"/>
                <c:pt idx="0">
                  <c:v>8</c:v>
                </c:pt>
                <c:pt idx="1">
                  <c:v>9</c:v>
                </c:pt>
                <c:pt idx="2">
                  <c:v>13</c:v>
                </c:pt>
                <c:pt idx="3">
                  <c:v>4</c:v>
                </c:pt>
                <c:pt idx="4">
                  <c:v>3</c:v>
                </c:pt>
                <c:pt idx="5">
                  <c:v>3</c:v>
                </c:pt>
              </c:numCache>
            </c:numRef>
          </c:val>
          <c:extLst>
            <c:ext xmlns:c16="http://schemas.microsoft.com/office/drawing/2014/chart" uri="{C3380CC4-5D6E-409C-BE32-E72D297353CC}">
              <c16:uniqueId val="{0000000C-BC18-4714-A2BE-CB00BC7ADDA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49721124235066932"/>
          <c:y val="0.17059118270611487"/>
          <c:w val="0.47392290311357649"/>
          <c:h val="0.7556848509516734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Capstone.xlsx]PIVOT TABLE!PivotTable11</c:name>
    <c:fmtId val="7"/>
  </c:pivotSource>
  <c:chart>
    <c:title>
      <c:tx>
        <c:rich>
          <a:bodyPr rot="0" spcFirstLastPara="1" vertOverflow="ellipsis" vert="horz" wrap="square" anchor="ctr" anchorCtr="1"/>
          <a:lstStyle/>
          <a:p>
            <a:pPr algn="ctr">
              <a:defRPr sz="1200" b="1" i="0" u="none" strike="noStrike" kern="1200" spc="0" baseline="0">
                <a:solidFill>
                  <a:srgbClr val="002060"/>
                </a:solidFill>
                <a:latin typeface="+mn-lt"/>
                <a:ea typeface="+mn-ea"/>
                <a:cs typeface="+mn-cs"/>
              </a:defRPr>
            </a:pPr>
            <a:r>
              <a:rPr lang="en-US" sz="1200" b="1">
                <a:solidFill>
                  <a:srgbClr val="002060"/>
                </a:solidFill>
              </a:rPr>
              <a:t>TOP EMPLOYEE</a:t>
            </a:r>
            <a:r>
              <a:rPr lang="en-US" sz="1200" b="1" baseline="0">
                <a:solidFill>
                  <a:srgbClr val="002060"/>
                </a:solidFill>
              </a:rPr>
              <a:t> </a:t>
            </a:r>
            <a:r>
              <a:rPr lang="en-US" sz="1200" b="1">
                <a:solidFill>
                  <a:srgbClr val="002060"/>
                </a:solidFill>
              </a:rPr>
              <a:t>ATTRTION REASONS</a:t>
            </a:r>
          </a:p>
        </c:rich>
      </c:tx>
      <c:layout>
        <c:manualLayout>
          <c:xMode val="edge"/>
          <c:yMode val="edge"/>
          <c:x val="0.21857661408585277"/>
          <c:y val="6.0295299328858007E-2"/>
        </c:manualLayout>
      </c:layout>
      <c:overlay val="0"/>
      <c:spPr>
        <a:noFill/>
        <a:ln>
          <a:noFill/>
        </a:ln>
        <a:effectLst/>
      </c:spPr>
      <c:txPr>
        <a:bodyPr rot="0" spcFirstLastPara="1" vertOverflow="ellipsis" vert="horz" wrap="square" anchor="ctr" anchorCtr="1"/>
        <a:lstStyle/>
        <a:p>
          <a:pPr algn="ctr">
            <a:defRPr sz="12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00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0752625261165487"/>
          <c:y val="0.29901989560456793"/>
          <c:w val="0.54833224482884779"/>
          <c:h val="0.61410399817939254"/>
        </c:manualLayout>
      </c:layout>
      <c:bar3DChart>
        <c:barDir val="bar"/>
        <c:grouping val="stacked"/>
        <c:varyColors val="0"/>
        <c:ser>
          <c:idx val="0"/>
          <c:order val="0"/>
          <c:tx>
            <c:strRef>
              <c:f>'PIVOT TABLE'!$I$4</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TABLE'!$H$5:$H$8</c:f>
              <c:strCache>
                <c:ptCount val="4"/>
                <c:pt idx="0">
                  <c:v>Career change</c:v>
                </c:pt>
                <c:pt idx="1">
                  <c:v>Commute time</c:v>
                </c:pt>
                <c:pt idx="2">
                  <c:v>Personal reasons</c:v>
                </c:pt>
                <c:pt idx="3">
                  <c:v>Relocation</c:v>
                </c:pt>
              </c:strCache>
            </c:strRef>
          </c:cat>
          <c:val>
            <c:numRef>
              <c:f>'PIVOT TABLE'!$I$5:$I$8</c:f>
              <c:numCache>
                <c:formatCode>0</c:formatCode>
                <c:ptCount val="4"/>
                <c:pt idx="0">
                  <c:v>3</c:v>
                </c:pt>
                <c:pt idx="1">
                  <c:v>3</c:v>
                </c:pt>
                <c:pt idx="2">
                  <c:v>2</c:v>
                </c:pt>
                <c:pt idx="3">
                  <c:v>2</c:v>
                </c:pt>
              </c:numCache>
            </c:numRef>
          </c:val>
          <c:extLst>
            <c:ext xmlns:c16="http://schemas.microsoft.com/office/drawing/2014/chart" uri="{C3380CC4-5D6E-409C-BE32-E72D297353CC}">
              <c16:uniqueId val="{00000002-5B88-469B-A4F5-82EE0BBBA397}"/>
            </c:ext>
          </c:extLst>
        </c:ser>
        <c:dLbls>
          <c:showLegendKey val="0"/>
          <c:showVal val="1"/>
          <c:showCatName val="0"/>
          <c:showSerName val="0"/>
          <c:showPercent val="0"/>
          <c:showBubbleSize val="0"/>
        </c:dLbls>
        <c:gapWidth val="182"/>
        <c:shape val="box"/>
        <c:axId val="1294632080"/>
        <c:axId val="1294631120"/>
        <c:axId val="0"/>
      </c:bar3DChart>
      <c:catAx>
        <c:axId val="1294632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294631120"/>
        <c:crosses val="autoZero"/>
        <c:auto val="1"/>
        <c:lblAlgn val="ctr"/>
        <c:lblOffset val="100"/>
        <c:noMultiLvlLbl val="0"/>
      </c:catAx>
      <c:valAx>
        <c:axId val="1294631120"/>
        <c:scaling>
          <c:orientation val="minMax"/>
        </c:scaling>
        <c:delete val="1"/>
        <c:axPos val="b"/>
        <c:numFmt formatCode="0" sourceLinked="1"/>
        <c:majorTickMark val="out"/>
        <c:minorTickMark val="none"/>
        <c:tickLblPos val="nextTo"/>
        <c:crossAx val="129463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Capstone.xlsx]PIVOT TABLE!PivotTable6</c:name>
    <c:fmtId val="4"/>
  </c:pivotSource>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b="1">
                <a:solidFill>
                  <a:srgbClr val="002060"/>
                </a:solidFill>
              </a:rPr>
              <a:t> RECRUITMENT STATUS</a:t>
            </a:r>
          </a:p>
        </c:rich>
      </c:tx>
      <c:layout>
        <c:manualLayout>
          <c:xMode val="edge"/>
          <c:yMode val="edge"/>
          <c:x val="0.21231950645344586"/>
          <c:y val="2.840235627736801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33213675649074"/>
          <c:y val="0.26492852816474866"/>
          <c:w val="0.72305914143694994"/>
          <c:h val="0.33307911525359096"/>
        </c:manualLayout>
      </c:layout>
      <c:barChart>
        <c:barDir val="col"/>
        <c:grouping val="clustered"/>
        <c:varyColors val="0"/>
        <c:ser>
          <c:idx val="0"/>
          <c:order val="0"/>
          <c:tx>
            <c:strRef>
              <c:f>'PIVOT TABLE'!$F$23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TABLE'!$E$24:$E$28</c:f>
              <c:strCache>
                <c:ptCount val="4"/>
                <c:pt idx="0">
                  <c:v>Final Stage</c:v>
                </c:pt>
                <c:pt idx="1">
                  <c:v>In Progress</c:v>
                </c:pt>
                <c:pt idx="2">
                  <c:v>Rejected</c:v>
                </c:pt>
                <c:pt idx="3">
                  <c:v>Shortlisted</c:v>
                </c:pt>
              </c:strCache>
            </c:strRef>
          </c:cat>
          <c:val>
            <c:numRef>
              <c:f>'PIVOT TABLE'!$F$24:$F$28</c:f>
              <c:numCache>
                <c:formatCode>General</c:formatCode>
                <c:ptCount val="4"/>
                <c:pt idx="0">
                  <c:v>10</c:v>
                </c:pt>
                <c:pt idx="1">
                  <c:v>7</c:v>
                </c:pt>
                <c:pt idx="2">
                  <c:v>6</c:v>
                </c:pt>
                <c:pt idx="3">
                  <c:v>7</c:v>
                </c:pt>
              </c:numCache>
            </c:numRef>
          </c:val>
          <c:extLst>
            <c:ext xmlns:c16="http://schemas.microsoft.com/office/drawing/2014/chart" uri="{C3380CC4-5D6E-409C-BE32-E72D297353CC}">
              <c16:uniqueId val="{00000000-1B07-4B5F-A670-2D62F6F7BF2D}"/>
            </c:ext>
          </c:extLst>
        </c:ser>
        <c:dLbls>
          <c:dLblPos val="outEnd"/>
          <c:showLegendKey val="0"/>
          <c:showVal val="1"/>
          <c:showCatName val="0"/>
          <c:showSerName val="0"/>
          <c:showPercent val="0"/>
          <c:showBubbleSize val="0"/>
        </c:dLbls>
        <c:gapWidth val="219"/>
        <c:overlap val="-27"/>
        <c:axId val="214414720"/>
        <c:axId val="214415680"/>
      </c:barChart>
      <c:catAx>
        <c:axId val="21441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3618"/>
                </a:solidFill>
                <a:latin typeface="+mn-lt"/>
                <a:ea typeface="+mn-ea"/>
                <a:cs typeface="+mn-cs"/>
              </a:defRPr>
            </a:pPr>
            <a:endParaRPr lang="en-US"/>
          </a:p>
        </c:txPr>
        <c:crossAx val="214415680"/>
        <c:crosses val="autoZero"/>
        <c:auto val="1"/>
        <c:lblAlgn val="ctr"/>
        <c:lblOffset val="100"/>
        <c:noMultiLvlLbl val="0"/>
      </c:catAx>
      <c:valAx>
        <c:axId val="214415680"/>
        <c:scaling>
          <c:orientation val="minMax"/>
        </c:scaling>
        <c:delete val="1"/>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sz="1000" b="1">
                    <a:solidFill>
                      <a:schemeClr val="bg1"/>
                    </a:solidFill>
                  </a:rPr>
                  <a:t>NO OF CANDIDATES</a:t>
                </a:r>
              </a:p>
            </c:rich>
          </c:tx>
          <c:layout>
            <c:manualLayout>
              <c:xMode val="edge"/>
              <c:yMode val="edge"/>
              <c:x val="4.536082474226804E-2"/>
              <c:y val="0.17396443219887911"/>
            </c:manualLayout>
          </c:layout>
          <c:overlay val="0"/>
          <c:spPr>
            <a:solidFill>
              <a:schemeClr val="accent2"/>
            </a:solid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crossAx val="21441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Capstone.xlsx]PIVOT TABLE!PivotTable5</c:name>
    <c:fmtId val="5"/>
  </c:pivotSource>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b="1">
                <a:solidFill>
                  <a:srgbClr val="002060"/>
                </a:solidFill>
              </a:rPr>
              <a:t>ATTRITION</a:t>
            </a:r>
            <a:r>
              <a:rPr lang="en-US" sz="1200" b="1" baseline="0">
                <a:solidFill>
                  <a:srgbClr val="002060"/>
                </a:solidFill>
              </a:rPr>
              <a:t> DISTRIBUTION BY DEPARTMENT</a:t>
            </a:r>
            <a:endParaRPr lang="en-US" sz="1200" b="1">
              <a:solidFill>
                <a:srgbClr val="002060"/>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TABLE'!$F$14</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TABLE'!$E$15:$E$21</c:f>
              <c:strCache>
                <c:ptCount val="6"/>
                <c:pt idx="0">
                  <c:v>Finance</c:v>
                </c:pt>
                <c:pt idx="1">
                  <c:v>IT</c:v>
                </c:pt>
                <c:pt idx="2">
                  <c:v>Marketing</c:v>
                </c:pt>
                <c:pt idx="3">
                  <c:v>Operations</c:v>
                </c:pt>
                <c:pt idx="4">
                  <c:v>Production</c:v>
                </c:pt>
                <c:pt idx="5">
                  <c:v>Sales</c:v>
                </c:pt>
              </c:strCache>
            </c:strRef>
          </c:cat>
          <c:val>
            <c:numRef>
              <c:f>'PIVOT TABLE'!$F$15:$F$21</c:f>
              <c:numCache>
                <c:formatCode>General</c:formatCode>
                <c:ptCount val="6"/>
                <c:pt idx="0">
                  <c:v>2</c:v>
                </c:pt>
                <c:pt idx="1">
                  <c:v>2</c:v>
                </c:pt>
                <c:pt idx="2">
                  <c:v>2</c:v>
                </c:pt>
                <c:pt idx="3">
                  <c:v>1</c:v>
                </c:pt>
                <c:pt idx="4">
                  <c:v>2</c:v>
                </c:pt>
                <c:pt idx="5">
                  <c:v>1</c:v>
                </c:pt>
              </c:numCache>
            </c:numRef>
          </c:val>
          <c:extLst>
            <c:ext xmlns:c16="http://schemas.microsoft.com/office/drawing/2014/chart" uri="{C3380CC4-5D6E-409C-BE32-E72D297353CC}">
              <c16:uniqueId val="{00000000-FBD4-4ECE-B755-83065F81623B}"/>
            </c:ext>
          </c:extLst>
        </c:ser>
        <c:dLbls>
          <c:dLblPos val="outEnd"/>
          <c:showLegendKey val="0"/>
          <c:showVal val="1"/>
          <c:showCatName val="0"/>
          <c:showSerName val="0"/>
          <c:showPercent val="0"/>
          <c:showBubbleSize val="0"/>
        </c:dLbls>
        <c:gapWidth val="182"/>
        <c:axId val="166234368"/>
        <c:axId val="166236288"/>
      </c:barChart>
      <c:catAx>
        <c:axId val="16623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C00000"/>
                </a:solidFill>
                <a:latin typeface="+mn-lt"/>
                <a:ea typeface="+mn-ea"/>
                <a:cs typeface="+mn-cs"/>
              </a:defRPr>
            </a:pPr>
            <a:endParaRPr lang="en-US"/>
          </a:p>
        </c:txPr>
        <c:crossAx val="166236288"/>
        <c:crosses val="autoZero"/>
        <c:auto val="1"/>
        <c:lblAlgn val="ctr"/>
        <c:lblOffset val="100"/>
        <c:noMultiLvlLbl val="0"/>
      </c:catAx>
      <c:valAx>
        <c:axId val="166236288"/>
        <c:scaling>
          <c:orientation val="minMax"/>
        </c:scaling>
        <c:delete val="1"/>
        <c:axPos val="l"/>
        <c:numFmt formatCode="General" sourceLinked="1"/>
        <c:majorTickMark val="none"/>
        <c:minorTickMark val="none"/>
        <c:tickLblPos val="nextTo"/>
        <c:crossAx val="16623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Capstone.xlsx]PIVOT TABLE!PivotTable8</c:name>
    <c:fmtId val="19"/>
  </c:pivotSource>
  <c:chart>
    <c:title>
      <c:tx>
        <c:rich>
          <a:bodyPr rot="0" spcFirstLastPara="1" vertOverflow="ellipsis" vert="horz" wrap="square" anchor="ctr" anchorCtr="1"/>
          <a:lstStyle/>
          <a:p>
            <a:pPr algn="ctr">
              <a:defRPr sz="1200" b="1" i="0" u="none" strike="noStrike" kern="1200" spc="0" baseline="0">
                <a:solidFill>
                  <a:srgbClr val="002060"/>
                </a:solidFill>
                <a:latin typeface="+mn-lt"/>
                <a:ea typeface="+mn-ea"/>
                <a:cs typeface="+mn-cs"/>
              </a:defRPr>
            </a:pPr>
            <a:r>
              <a:rPr lang="en-US" sz="1200" b="1">
                <a:solidFill>
                  <a:srgbClr val="002060"/>
                </a:solidFill>
              </a:rPr>
              <a:t> Employee Satisfaction Score(%)</a:t>
            </a:r>
          </a:p>
        </c:rich>
      </c:tx>
      <c:layout>
        <c:manualLayout>
          <c:xMode val="edge"/>
          <c:yMode val="edge"/>
          <c:x val="0.13074750783117045"/>
          <c:y val="1.3688976377952756E-2"/>
        </c:manualLayout>
      </c:layout>
      <c:overlay val="0"/>
      <c:spPr>
        <a:noFill/>
        <a:ln>
          <a:noFill/>
        </a:ln>
        <a:effectLst/>
      </c:spPr>
      <c:txPr>
        <a:bodyPr rot="0" spcFirstLastPara="1" vertOverflow="ellipsis" vert="horz" wrap="square" anchor="ctr" anchorCtr="1"/>
        <a:lstStyle/>
        <a:p>
          <a:pPr algn="ctr">
            <a:defRPr sz="12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C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solidFill>
              <a:srgbClr val="C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accent1"/>
          </a:solidFill>
          <a:ln>
            <a:noFill/>
          </a:ln>
          <a:effectLst/>
        </c:spPr>
        <c:marker>
          <c:symbol val="none"/>
        </c:marker>
        <c:dLbl>
          <c:idx val="0"/>
          <c:spPr>
            <a:solidFill>
              <a:srgbClr val="C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clustered"/>
        <c:varyColors val="0"/>
        <c:ser>
          <c:idx val="0"/>
          <c:order val="0"/>
          <c:tx>
            <c:strRef>
              <c:f>'PIVOT TABLE'!$I$23</c:f>
              <c:strCache>
                <c:ptCount val="1"/>
                <c:pt idx="0">
                  <c:v>Total</c:v>
                </c:pt>
              </c:strCache>
            </c:strRef>
          </c:tx>
          <c:spPr>
            <a:solidFill>
              <a:schemeClr val="accent1"/>
            </a:solidFill>
            <a:ln>
              <a:noFill/>
            </a:ln>
            <a:effectLst/>
          </c:spPr>
          <c:invertIfNegative val="0"/>
          <c:dLbls>
            <c:spPr>
              <a:solidFill>
                <a:srgbClr val="C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TABLE'!$H$24:$H$30</c:f>
              <c:strCache>
                <c:ptCount val="7"/>
                <c:pt idx="0">
                  <c:v>Finance</c:v>
                </c:pt>
                <c:pt idx="1">
                  <c:v>HR</c:v>
                </c:pt>
                <c:pt idx="2">
                  <c:v>IT</c:v>
                </c:pt>
                <c:pt idx="3">
                  <c:v>Marketing</c:v>
                </c:pt>
                <c:pt idx="4">
                  <c:v>Operations</c:v>
                </c:pt>
                <c:pt idx="5">
                  <c:v>Production</c:v>
                </c:pt>
                <c:pt idx="6">
                  <c:v>Sales</c:v>
                </c:pt>
              </c:strCache>
            </c:strRef>
          </c:cat>
          <c:val>
            <c:numRef>
              <c:f>'PIVOT TABLE'!$I$24:$I$30</c:f>
              <c:numCache>
                <c:formatCode>0%</c:formatCode>
                <c:ptCount val="7"/>
                <c:pt idx="0">
                  <c:v>1</c:v>
                </c:pt>
                <c:pt idx="1">
                  <c:v>0.85185185185185186</c:v>
                </c:pt>
                <c:pt idx="2">
                  <c:v>0.93333333333333335</c:v>
                </c:pt>
                <c:pt idx="3">
                  <c:v>0.84444444444444444</c:v>
                </c:pt>
                <c:pt idx="4">
                  <c:v>0.88888888888888884</c:v>
                </c:pt>
                <c:pt idx="5">
                  <c:v>1</c:v>
                </c:pt>
                <c:pt idx="6">
                  <c:v>0.85714285714285721</c:v>
                </c:pt>
              </c:numCache>
            </c:numRef>
          </c:val>
          <c:extLst>
            <c:ext xmlns:c16="http://schemas.microsoft.com/office/drawing/2014/chart" uri="{C3380CC4-5D6E-409C-BE32-E72D297353CC}">
              <c16:uniqueId val="{00000000-442F-42E8-B9F7-597266378559}"/>
            </c:ext>
          </c:extLst>
        </c:ser>
        <c:dLbls>
          <c:dLblPos val="outEnd"/>
          <c:showLegendKey val="0"/>
          <c:showVal val="1"/>
          <c:showCatName val="0"/>
          <c:showSerName val="0"/>
          <c:showPercent val="0"/>
          <c:showBubbleSize val="0"/>
        </c:dLbls>
        <c:gapWidth val="219"/>
        <c:overlap val="-27"/>
        <c:axId val="1227960080"/>
        <c:axId val="202504256"/>
      </c:barChart>
      <c:catAx>
        <c:axId val="122796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6">
                    <a:lumMod val="50000"/>
                  </a:schemeClr>
                </a:solidFill>
                <a:latin typeface="+mn-lt"/>
                <a:ea typeface="+mn-ea"/>
                <a:cs typeface="+mn-cs"/>
              </a:defRPr>
            </a:pPr>
            <a:endParaRPr lang="en-US"/>
          </a:p>
        </c:txPr>
        <c:crossAx val="202504256"/>
        <c:crosses val="autoZero"/>
        <c:auto val="1"/>
        <c:lblAlgn val="ctr"/>
        <c:lblOffset val="100"/>
        <c:noMultiLvlLbl val="0"/>
      </c:catAx>
      <c:valAx>
        <c:axId val="202504256"/>
        <c:scaling>
          <c:orientation val="minMax"/>
        </c:scaling>
        <c:delete val="1"/>
        <c:axPos val="l"/>
        <c:numFmt formatCode="0%" sourceLinked="1"/>
        <c:majorTickMark val="none"/>
        <c:minorTickMark val="none"/>
        <c:tickLblPos val="nextTo"/>
        <c:crossAx val="122796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Capstone.xlsx]PIVOT TABLE!PivotTable14</c:name>
    <c:fmtId val="20"/>
  </c:pivotSource>
  <c:chart>
    <c:title>
      <c:tx>
        <c:rich>
          <a:bodyPr rot="0" spcFirstLastPara="1" vertOverflow="ellipsis" vert="horz" wrap="square" anchor="ctr" anchorCtr="1"/>
          <a:lstStyle/>
          <a:p>
            <a:pPr>
              <a:defRPr sz="1200" b="1" i="0" u="none" strike="noStrike" kern="1200" cap="all" baseline="0">
                <a:solidFill>
                  <a:srgbClr val="002060"/>
                </a:solidFill>
                <a:latin typeface="+mn-lt"/>
                <a:ea typeface="+mn-ea"/>
                <a:cs typeface="+mn-cs"/>
              </a:defRPr>
            </a:pPr>
            <a:r>
              <a:rPr lang="en-US" sz="1200">
                <a:solidFill>
                  <a:srgbClr val="002060"/>
                </a:solidFill>
              </a:rPr>
              <a:t>Workforce Attendance Rate (%)</a:t>
            </a:r>
          </a:p>
        </c:rich>
      </c:tx>
      <c:overlay val="0"/>
      <c:spPr>
        <a:noFill/>
        <a:ln>
          <a:noFill/>
        </a:ln>
        <a:effectLst/>
      </c:spPr>
      <c:txPr>
        <a:bodyPr rot="0" spcFirstLastPara="1" vertOverflow="ellipsis" vert="horz" wrap="square" anchor="ctr" anchorCtr="1"/>
        <a:lstStyle/>
        <a:p>
          <a:pPr>
            <a:defRPr sz="1200" b="1" i="0" u="none" strike="noStrike" kern="1200" cap="all"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TABLE'!$O$4</c:f>
              <c:strCache>
                <c:ptCount val="1"/>
                <c:pt idx="0">
                  <c:v>Total</c:v>
                </c:pt>
              </c:strCache>
            </c:strRef>
          </c:tx>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invertIfNegative val="0"/>
          <c:dPt>
            <c:idx val="0"/>
            <c:invertIfNegative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8AF-4D29-9EAD-D9759136329F}"/>
              </c:ext>
            </c:extLst>
          </c:dPt>
          <c:dPt>
            <c:idx val="1"/>
            <c:invertIfNegative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8AF-4D29-9EAD-D9759136329F}"/>
              </c:ext>
            </c:extLst>
          </c:dPt>
          <c:dPt>
            <c:idx val="2"/>
            <c:invertIfNegative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8AF-4D29-9EAD-D9759136329F}"/>
              </c:ext>
            </c:extLst>
          </c:dPt>
          <c:dPt>
            <c:idx val="3"/>
            <c:invertIfNegative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F8AF-4D29-9EAD-D9759136329F}"/>
              </c:ext>
            </c:extLst>
          </c:dPt>
          <c:dPt>
            <c:idx val="4"/>
            <c:invertIfNegative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F8AF-4D29-9EAD-D9759136329F}"/>
              </c:ext>
            </c:extLst>
          </c:dPt>
          <c:dPt>
            <c:idx val="5"/>
            <c:invertIfNegative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F8AF-4D29-9EAD-D9759136329F}"/>
              </c:ext>
            </c:extLst>
          </c:dPt>
          <c:dPt>
            <c:idx val="6"/>
            <c:invertIfNegative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F8AF-4D29-9EAD-D9759136329F}"/>
              </c:ext>
            </c:extLst>
          </c:dPt>
          <c:cat>
            <c:strRef>
              <c:f>'PIVOT TABLE'!$N$5:$N$12</c:f>
              <c:strCache>
                <c:ptCount val="7"/>
                <c:pt idx="0">
                  <c:v>Finance</c:v>
                </c:pt>
                <c:pt idx="1">
                  <c:v>HR</c:v>
                </c:pt>
                <c:pt idx="2">
                  <c:v>IT</c:v>
                </c:pt>
                <c:pt idx="3">
                  <c:v>Marketing</c:v>
                </c:pt>
                <c:pt idx="4">
                  <c:v>Operations</c:v>
                </c:pt>
                <c:pt idx="5">
                  <c:v>Production</c:v>
                </c:pt>
                <c:pt idx="6">
                  <c:v>Sales</c:v>
                </c:pt>
              </c:strCache>
            </c:strRef>
          </c:cat>
          <c:val>
            <c:numRef>
              <c:f>'PIVOT TABLE'!$O$5:$O$12</c:f>
              <c:numCache>
                <c:formatCode>0%</c:formatCode>
                <c:ptCount val="7"/>
                <c:pt idx="0">
                  <c:v>0.81625000000000003</c:v>
                </c:pt>
                <c:pt idx="1">
                  <c:v>0.86333333333333329</c:v>
                </c:pt>
                <c:pt idx="2">
                  <c:v>0.9</c:v>
                </c:pt>
                <c:pt idx="3">
                  <c:v>0.83999999999999986</c:v>
                </c:pt>
                <c:pt idx="4">
                  <c:v>0.84571428571428575</c:v>
                </c:pt>
                <c:pt idx="5">
                  <c:v>0.79</c:v>
                </c:pt>
                <c:pt idx="6">
                  <c:v>0.83285714285714296</c:v>
                </c:pt>
              </c:numCache>
            </c:numRef>
          </c:val>
          <c:extLst>
            <c:ext xmlns:c16="http://schemas.microsoft.com/office/drawing/2014/chart" uri="{C3380CC4-5D6E-409C-BE32-E72D297353CC}">
              <c16:uniqueId val="{0000000E-F8AF-4D29-9EAD-D9759136329F}"/>
            </c:ext>
          </c:extLst>
        </c:ser>
        <c:dLbls>
          <c:showLegendKey val="0"/>
          <c:showVal val="0"/>
          <c:showCatName val="0"/>
          <c:showSerName val="0"/>
          <c:showPercent val="0"/>
          <c:showBubbleSize val="0"/>
        </c:dLbls>
        <c:gapWidth val="100"/>
        <c:shape val="box"/>
        <c:axId val="1928847679"/>
        <c:axId val="1928848159"/>
        <c:axId val="0"/>
      </c:bar3DChart>
      <c:catAx>
        <c:axId val="192884767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928848159"/>
        <c:crosses val="autoZero"/>
        <c:auto val="1"/>
        <c:lblAlgn val="ctr"/>
        <c:lblOffset val="100"/>
        <c:noMultiLvlLbl val="0"/>
      </c:catAx>
      <c:valAx>
        <c:axId val="1928848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92884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Capstone.xlsx]PIVOT TABLE!PivotTable18</c:name>
    <c:fmtId val="6"/>
  </c:pivotSource>
  <c:chart>
    <c:title>
      <c:tx>
        <c:rich>
          <a:bodyPr rot="0" spcFirstLastPara="1" vertOverflow="ellipsis" vert="horz" wrap="square" anchor="ctr" anchorCtr="1"/>
          <a:lstStyle/>
          <a:p>
            <a:pPr algn="ctr">
              <a:defRPr sz="1050" b="1" i="0" u="none" strike="noStrike" kern="1200" baseline="0">
                <a:solidFill>
                  <a:srgbClr val="002060"/>
                </a:solidFill>
                <a:latin typeface="+mn-lt"/>
                <a:ea typeface="+mn-ea"/>
                <a:cs typeface="+mn-cs"/>
              </a:defRPr>
            </a:pPr>
            <a:r>
              <a:rPr lang="en-US" sz="1050">
                <a:solidFill>
                  <a:srgbClr val="002060"/>
                </a:solidFill>
              </a:rPr>
              <a:t>Performance Appraisal Success Rate (%)</a:t>
            </a:r>
          </a:p>
        </c:rich>
      </c:tx>
      <c:layout>
        <c:manualLayout>
          <c:xMode val="edge"/>
          <c:yMode val="edge"/>
          <c:x val="0.14217170555892469"/>
          <c:y val="2.0430660466784049E-2"/>
        </c:manualLayout>
      </c:layout>
      <c:overlay val="0"/>
      <c:spPr>
        <a:noFill/>
        <a:ln>
          <a:noFill/>
        </a:ln>
        <a:effectLst/>
      </c:spPr>
      <c:txPr>
        <a:bodyPr rot="0" spcFirstLastPara="1" vertOverflow="ellipsis" vert="horz" wrap="square" anchor="ctr" anchorCtr="1"/>
        <a:lstStyle/>
        <a:p>
          <a:pPr algn="ctr">
            <a:defRPr sz="1050" b="1" i="0" u="none" strike="noStrike" kern="120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rgbClr val="002060"/>
          </a:solidFill>
          <a:ln>
            <a:solidFill>
              <a:sysClr val="windowText" lastClr="000000"/>
            </a:solid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0"/>
        <c:spPr>
          <a:solidFill>
            <a:srgbClr val="002060"/>
          </a:solidFill>
          <a:ln>
            <a:solidFill>
              <a:sysClr val="windowText" lastClr="000000"/>
            </a:solidFill>
          </a:ln>
          <a:effectLst>
            <a:outerShdw blurRad="317500" algn="ctr" rotWithShape="0">
              <a:prstClr val="black">
                <a:alpha val="25000"/>
              </a:prstClr>
            </a:outerShdw>
          </a:effectLst>
        </c:spPr>
        <c:dLbl>
          <c:idx val="0"/>
          <c:layout>
            <c:manualLayout>
              <c:x val="6.5159322214142709E-2"/>
              <c:y val="7.66354189190908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15:layout>
                <c:manualLayout>
                  <c:w val="0.2684575356324746"/>
                  <c:h val="0.19302071049104208"/>
                </c:manualLayout>
              </c15:layout>
            </c:ext>
          </c:extLst>
        </c:dLbl>
      </c:pivotFmt>
      <c:pivotFmt>
        <c:idx val="11"/>
        <c:spPr>
          <a:solidFill>
            <a:srgbClr val="002060"/>
          </a:solidFill>
          <a:ln>
            <a:solidFill>
              <a:sysClr val="windowText" lastClr="000000"/>
            </a:solidFill>
          </a:ln>
          <a:effectLst>
            <a:outerShdw blurRad="317500" algn="ctr" rotWithShape="0">
              <a:prstClr val="black">
                <a:alpha val="25000"/>
              </a:prstClr>
            </a:outerShdw>
          </a:effectLst>
        </c:spPr>
        <c:dLbl>
          <c:idx val="0"/>
          <c:layout>
            <c:manualLayout>
              <c:x val="4.061376380677556E-2"/>
              <c:y val="5.0682041600267402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2"/>
        <c:spPr>
          <a:solidFill>
            <a:srgbClr val="002060"/>
          </a:solidFill>
          <a:ln>
            <a:solidFill>
              <a:sysClr val="windowText" lastClr="000000"/>
            </a:solidFill>
          </a:ln>
          <a:effectLst>
            <a:outerShdw blurRad="317500" algn="ctr" rotWithShape="0">
              <a:prstClr val="black">
                <a:alpha val="25000"/>
              </a:prstClr>
            </a:outerShdw>
          </a:effectLst>
        </c:spPr>
        <c:dLbl>
          <c:idx val="0"/>
          <c:layout>
            <c:manualLayout>
              <c:x val="4.4115216697755477E-2"/>
              <c:y val="-7.8837116194498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3"/>
        <c:spPr>
          <a:solidFill>
            <a:srgbClr val="002060"/>
          </a:solidFill>
          <a:ln>
            <a:solidFill>
              <a:sysClr val="windowText" lastClr="000000"/>
            </a:solidFill>
          </a:ln>
          <a:effectLst>
            <a:outerShdw blurRad="317500" algn="ctr" rotWithShape="0">
              <a:prstClr val="black">
                <a:alpha val="25000"/>
              </a:prstClr>
            </a:outerShdw>
          </a:effectLst>
        </c:spPr>
        <c:dLbl>
          <c:idx val="0"/>
          <c:layout>
            <c:manualLayout>
              <c:x val="-5.1258956620210565E-2"/>
              <c:y val="-1.183707561300764E-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15:layout>
                <c:manualLayout>
                  <c:w val="0.41747406783606905"/>
                  <c:h val="0.2055918870938141"/>
                </c:manualLayout>
              </c15:layout>
            </c:ext>
          </c:extLst>
        </c:dLbl>
      </c:pivotFmt>
      <c:pivotFmt>
        <c:idx val="14"/>
        <c:spPr>
          <a:solidFill>
            <a:srgbClr val="002060"/>
          </a:solidFill>
          <a:ln>
            <a:solidFill>
              <a:sysClr val="windowText" lastClr="000000"/>
            </a:solidFill>
          </a:ln>
          <a:effectLst>
            <a:outerShdw blurRad="317500" algn="ctr" rotWithShape="0">
              <a:prstClr val="black">
                <a:alpha val="25000"/>
              </a:prstClr>
            </a:outerShdw>
          </a:effectLst>
        </c:spPr>
        <c:dLbl>
          <c:idx val="0"/>
          <c:layout>
            <c:manualLayout>
              <c:x val="-5.694154233503005E-2"/>
              <c:y val="-0.12100522168699072"/>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15:layout>
                <c:manualLayout>
                  <c:w val="0.26657460651673165"/>
                  <c:h val="0.2282859642544682"/>
                </c:manualLayout>
              </c15:layout>
            </c:ext>
          </c:extLst>
        </c:dLbl>
      </c:pivotFmt>
      <c:pivotFmt>
        <c:idx val="15"/>
        <c:spPr>
          <a:solidFill>
            <a:srgbClr val="002060"/>
          </a:solidFill>
          <a:ln>
            <a:solidFill>
              <a:sysClr val="windowText" lastClr="000000"/>
            </a:solidFill>
          </a:ln>
          <a:effectLst>
            <a:outerShdw blurRad="317500" algn="ctr" rotWithShape="0">
              <a:prstClr val="black">
                <a:alpha val="25000"/>
              </a:prstClr>
            </a:outerShdw>
          </a:effectLst>
        </c:spPr>
        <c:dLbl>
          <c:idx val="0"/>
          <c:layout>
            <c:manualLayout>
              <c:x val="1.796353832844246E-7"/>
              <c:y val="3.7074522758644211E-3"/>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15:layout>
                <c:manualLayout>
                  <c:w val="0.29914572597125255"/>
                  <c:h val="0.24098439793119197"/>
                </c:manualLayout>
              </c15:layout>
            </c:ext>
          </c:extLst>
        </c:dLbl>
      </c:pivotFmt>
      <c:pivotFmt>
        <c:idx val="16"/>
        <c:spPr>
          <a:solidFill>
            <a:srgbClr val="002060"/>
          </a:solidFill>
          <a:ln>
            <a:solidFill>
              <a:sysClr val="windowText" lastClr="000000"/>
            </a:solidFill>
          </a:ln>
          <a:effectLst>
            <a:outerShdw blurRad="317500" algn="ctr" rotWithShape="0">
              <a:prstClr val="black">
                <a:alpha val="25000"/>
              </a:prstClr>
            </a:outerShdw>
          </a:effectLst>
        </c:spPr>
        <c:dLbl>
          <c:idx val="0"/>
          <c:layout>
            <c:manualLayout>
              <c:x val="-8.2360308340542698E-2"/>
              <c:y val="0.12772509250459871"/>
            </c:manualLayout>
          </c:layout>
          <c:spPr>
            <a:noFill/>
            <a:ln w="9525">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s>
    <c:plotArea>
      <c:layout>
        <c:manualLayout>
          <c:layoutTarget val="inner"/>
          <c:xMode val="edge"/>
          <c:yMode val="edge"/>
          <c:x val="0.25615251187749155"/>
          <c:y val="0.22741685488604171"/>
          <c:w val="0.45746209476583422"/>
          <c:h val="0.66561929758780169"/>
        </c:manualLayout>
      </c:layout>
      <c:pieChart>
        <c:varyColors val="1"/>
        <c:ser>
          <c:idx val="0"/>
          <c:order val="0"/>
          <c:tx>
            <c:strRef>
              <c:f>'PIVOT TABLE'!$O$17</c:f>
              <c:strCache>
                <c:ptCount val="1"/>
                <c:pt idx="0">
                  <c:v>Total</c:v>
                </c:pt>
              </c:strCache>
            </c:strRef>
          </c:tx>
          <c:spPr>
            <a:solidFill>
              <a:srgbClr val="002060"/>
            </a:solidFill>
            <a:ln>
              <a:solidFill>
                <a:sysClr val="windowText" lastClr="000000"/>
              </a:solidFill>
            </a:ln>
          </c:spPr>
          <c:explosion val="14"/>
          <c:dPt>
            <c:idx val="0"/>
            <c:bubble3D val="0"/>
            <c:spPr>
              <a:solidFill>
                <a:srgbClr val="002060"/>
              </a:solidFill>
              <a:ln>
                <a:solidFill>
                  <a:sysClr val="windowText" lastClr="000000"/>
                </a:solidFill>
              </a:ln>
              <a:effectLst>
                <a:outerShdw blurRad="317500" algn="ctr" rotWithShape="0">
                  <a:prstClr val="black">
                    <a:alpha val="25000"/>
                  </a:prstClr>
                </a:outerShdw>
              </a:effectLst>
            </c:spPr>
            <c:extLst>
              <c:ext xmlns:c16="http://schemas.microsoft.com/office/drawing/2014/chart" uri="{C3380CC4-5D6E-409C-BE32-E72D297353CC}">
                <c16:uniqueId val="{00000001-FCE7-40F5-AA4F-C79F45C7CFC0}"/>
              </c:ext>
            </c:extLst>
          </c:dPt>
          <c:dPt>
            <c:idx val="1"/>
            <c:bubble3D val="0"/>
            <c:spPr>
              <a:solidFill>
                <a:srgbClr val="002060"/>
              </a:solidFill>
              <a:ln>
                <a:solidFill>
                  <a:sysClr val="windowText" lastClr="000000"/>
                </a:solidFill>
              </a:ln>
              <a:effectLst>
                <a:outerShdw blurRad="317500" algn="ctr" rotWithShape="0">
                  <a:prstClr val="black">
                    <a:alpha val="25000"/>
                  </a:prstClr>
                </a:outerShdw>
              </a:effectLst>
            </c:spPr>
            <c:extLst>
              <c:ext xmlns:c16="http://schemas.microsoft.com/office/drawing/2014/chart" uri="{C3380CC4-5D6E-409C-BE32-E72D297353CC}">
                <c16:uniqueId val="{00000003-FCE7-40F5-AA4F-C79F45C7CFC0}"/>
              </c:ext>
            </c:extLst>
          </c:dPt>
          <c:dPt>
            <c:idx val="2"/>
            <c:bubble3D val="0"/>
            <c:spPr>
              <a:solidFill>
                <a:srgbClr val="002060"/>
              </a:solidFill>
              <a:ln>
                <a:solidFill>
                  <a:sysClr val="windowText" lastClr="000000"/>
                </a:solidFill>
              </a:ln>
              <a:effectLst>
                <a:outerShdw blurRad="317500" algn="ctr" rotWithShape="0">
                  <a:prstClr val="black">
                    <a:alpha val="25000"/>
                  </a:prstClr>
                </a:outerShdw>
              </a:effectLst>
            </c:spPr>
            <c:extLst>
              <c:ext xmlns:c16="http://schemas.microsoft.com/office/drawing/2014/chart" uri="{C3380CC4-5D6E-409C-BE32-E72D297353CC}">
                <c16:uniqueId val="{00000005-FCE7-40F5-AA4F-C79F45C7CFC0}"/>
              </c:ext>
            </c:extLst>
          </c:dPt>
          <c:dPt>
            <c:idx val="3"/>
            <c:bubble3D val="0"/>
            <c:spPr>
              <a:solidFill>
                <a:srgbClr val="002060"/>
              </a:solidFill>
              <a:ln>
                <a:solidFill>
                  <a:sysClr val="windowText" lastClr="000000"/>
                </a:solidFill>
              </a:ln>
              <a:effectLst>
                <a:outerShdw blurRad="317500" algn="ctr" rotWithShape="0">
                  <a:prstClr val="black">
                    <a:alpha val="25000"/>
                  </a:prstClr>
                </a:outerShdw>
              </a:effectLst>
            </c:spPr>
            <c:extLst>
              <c:ext xmlns:c16="http://schemas.microsoft.com/office/drawing/2014/chart" uri="{C3380CC4-5D6E-409C-BE32-E72D297353CC}">
                <c16:uniqueId val="{00000007-FCE7-40F5-AA4F-C79F45C7CFC0}"/>
              </c:ext>
            </c:extLst>
          </c:dPt>
          <c:dPt>
            <c:idx val="4"/>
            <c:bubble3D val="0"/>
            <c:spPr>
              <a:solidFill>
                <a:srgbClr val="002060"/>
              </a:solidFill>
              <a:ln>
                <a:solidFill>
                  <a:sysClr val="windowText" lastClr="000000"/>
                </a:solidFill>
              </a:ln>
              <a:effectLst>
                <a:outerShdw blurRad="317500" algn="ctr" rotWithShape="0">
                  <a:prstClr val="black">
                    <a:alpha val="25000"/>
                  </a:prstClr>
                </a:outerShdw>
              </a:effectLst>
            </c:spPr>
            <c:extLst>
              <c:ext xmlns:c16="http://schemas.microsoft.com/office/drawing/2014/chart" uri="{C3380CC4-5D6E-409C-BE32-E72D297353CC}">
                <c16:uniqueId val="{00000009-FCE7-40F5-AA4F-C79F45C7CFC0}"/>
              </c:ext>
            </c:extLst>
          </c:dPt>
          <c:dPt>
            <c:idx val="5"/>
            <c:bubble3D val="0"/>
            <c:spPr>
              <a:solidFill>
                <a:srgbClr val="002060"/>
              </a:solidFill>
              <a:ln>
                <a:solidFill>
                  <a:sysClr val="windowText" lastClr="000000"/>
                </a:solidFill>
              </a:ln>
              <a:effectLst>
                <a:outerShdw blurRad="317500" algn="ctr" rotWithShape="0">
                  <a:prstClr val="black">
                    <a:alpha val="25000"/>
                  </a:prstClr>
                </a:outerShdw>
              </a:effectLst>
            </c:spPr>
            <c:extLst>
              <c:ext xmlns:c16="http://schemas.microsoft.com/office/drawing/2014/chart" uri="{C3380CC4-5D6E-409C-BE32-E72D297353CC}">
                <c16:uniqueId val="{0000000B-FCE7-40F5-AA4F-C79F45C7CFC0}"/>
              </c:ext>
            </c:extLst>
          </c:dPt>
          <c:dPt>
            <c:idx val="6"/>
            <c:bubble3D val="0"/>
            <c:spPr>
              <a:solidFill>
                <a:srgbClr val="002060"/>
              </a:solidFill>
              <a:ln>
                <a:solidFill>
                  <a:sysClr val="windowText" lastClr="000000"/>
                </a:solidFill>
              </a:ln>
              <a:effectLst>
                <a:outerShdw blurRad="317500" algn="ctr" rotWithShape="0">
                  <a:prstClr val="black">
                    <a:alpha val="25000"/>
                  </a:prstClr>
                </a:outerShdw>
              </a:effectLst>
            </c:spPr>
            <c:extLst>
              <c:ext xmlns:c16="http://schemas.microsoft.com/office/drawing/2014/chart" uri="{C3380CC4-5D6E-409C-BE32-E72D297353CC}">
                <c16:uniqueId val="{0000000D-FCE7-40F5-AA4F-C79F45C7CFC0}"/>
              </c:ext>
            </c:extLst>
          </c:dPt>
          <c:dLbls>
            <c:dLbl>
              <c:idx val="0"/>
              <c:layout>
                <c:manualLayout>
                  <c:x val="6.5159322214142709E-2"/>
                  <c:y val="7.6635418919090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84575356324746"/>
                      <c:h val="0.19302071049104208"/>
                    </c:manualLayout>
                  </c15:layout>
                </c:ext>
                <c:ext xmlns:c16="http://schemas.microsoft.com/office/drawing/2014/chart" uri="{C3380CC4-5D6E-409C-BE32-E72D297353CC}">
                  <c16:uniqueId val="{00000001-FCE7-40F5-AA4F-C79F45C7CFC0}"/>
                </c:ext>
              </c:extLst>
            </c:dLbl>
            <c:dLbl>
              <c:idx val="1"/>
              <c:layout>
                <c:manualLayout>
                  <c:x val="4.061376380677556E-2"/>
                  <c:y val="5.068204160026740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CE7-40F5-AA4F-C79F45C7CFC0}"/>
                </c:ext>
              </c:extLst>
            </c:dLbl>
            <c:dLbl>
              <c:idx val="2"/>
              <c:layout>
                <c:manualLayout>
                  <c:x val="4.4115216697755477E-2"/>
                  <c:y val="-7.88371161944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CE7-40F5-AA4F-C79F45C7CFC0}"/>
                </c:ext>
              </c:extLst>
            </c:dLbl>
            <c:dLbl>
              <c:idx val="3"/>
              <c:layout>
                <c:manualLayout>
                  <c:x val="-5.1258956620210565E-2"/>
                  <c:y val="-1.18370756130076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41747406783606905"/>
                      <c:h val="0.2055918870938141"/>
                    </c:manualLayout>
                  </c15:layout>
                </c:ext>
                <c:ext xmlns:c16="http://schemas.microsoft.com/office/drawing/2014/chart" uri="{C3380CC4-5D6E-409C-BE32-E72D297353CC}">
                  <c16:uniqueId val="{00000007-FCE7-40F5-AA4F-C79F45C7CFC0}"/>
                </c:ext>
              </c:extLst>
            </c:dLbl>
            <c:dLbl>
              <c:idx val="4"/>
              <c:layout>
                <c:manualLayout>
                  <c:x val="-5.694154233503005E-2"/>
                  <c:y val="-0.1210052216869907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6657460651673165"/>
                      <c:h val="0.2282859642544682"/>
                    </c:manualLayout>
                  </c15:layout>
                </c:ext>
                <c:ext xmlns:c16="http://schemas.microsoft.com/office/drawing/2014/chart" uri="{C3380CC4-5D6E-409C-BE32-E72D297353CC}">
                  <c16:uniqueId val="{00000009-FCE7-40F5-AA4F-C79F45C7CFC0}"/>
                </c:ext>
              </c:extLst>
            </c:dLbl>
            <c:dLbl>
              <c:idx val="5"/>
              <c:layout>
                <c:manualLayout>
                  <c:x val="1.796353832844246E-7"/>
                  <c:y val="3.7074522758644211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9914572597125255"/>
                      <c:h val="0.24098439793119197"/>
                    </c:manualLayout>
                  </c15:layout>
                </c:ext>
                <c:ext xmlns:c16="http://schemas.microsoft.com/office/drawing/2014/chart" uri="{C3380CC4-5D6E-409C-BE32-E72D297353CC}">
                  <c16:uniqueId val="{0000000B-FCE7-40F5-AA4F-C79F45C7CFC0}"/>
                </c:ext>
              </c:extLst>
            </c:dLbl>
            <c:dLbl>
              <c:idx val="6"/>
              <c:layout>
                <c:manualLayout>
                  <c:x val="-8.2360308340542698E-2"/>
                  <c:y val="0.1277250925045987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FCE7-40F5-AA4F-C79F45C7CFC0}"/>
                </c:ext>
              </c:extLst>
            </c:dLbl>
            <c:spPr>
              <a:noFill/>
              <a:ln w="9525">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borderCallout2">
                    <a:avLst/>
                  </a:prstGeom>
                  <a:noFill/>
                  <a:ln>
                    <a:noFill/>
                  </a:ln>
                </c15:spPr>
              </c:ext>
            </c:extLst>
          </c:dLbls>
          <c:cat>
            <c:strRef>
              <c:f>'PIVOT TABLE'!$N$18:$N$25</c:f>
              <c:strCache>
                <c:ptCount val="7"/>
                <c:pt idx="0">
                  <c:v>Finance</c:v>
                </c:pt>
                <c:pt idx="1">
                  <c:v>HR</c:v>
                </c:pt>
                <c:pt idx="2">
                  <c:v>IT</c:v>
                </c:pt>
                <c:pt idx="3">
                  <c:v>Marketing</c:v>
                </c:pt>
                <c:pt idx="4">
                  <c:v>Operations</c:v>
                </c:pt>
                <c:pt idx="5">
                  <c:v>Production</c:v>
                </c:pt>
                <c:pt idx="6">
                  <c:v>Sales</c:v>
                </c:pt>
              </c:strCache>
            </c:strRef>
          </c:cat>
          <c:val>
            <c:numRef>
              <c:f>'PIVOT TABLE'!$O$18:$O$25</c:f>
              <c:numCache>
                <c:formatCode>0%</c:formatCode>
                <c:ptCount val="7"/>
                <c:pt idx="0">
                  <c:v>9.9999999999999992E-2</c:v>
                </c:pt>
                <c:pt idx="1">
                  <c:v>8.1666666666666665E-2</c:v>
                </c:pt>
                <c:pt idx="2">
                  <c:v>8.7999999999999995E-2</c:v>
                </c:pt>
                <c:pt idx="3">
                  <c:v>0.10200000000000001</c:v>
                </c:pt>
                <c:pt idx="4">
                  <c:v>0.10714285714285714</c:v>
                </c:pt>
                <c:pt idx="5">
                  <c:v>7.5000000000000011E-2</c:v>
                </c:pt>
                <c:pt idx="6">
                  <c:v>0.1142857142857143</c:v>
                </c:pt>
              </c:numCache>
            </c:numRef>
          </c:val>
          <c:extLst>
            <c:ext xmlns:c16="http://schemas.microsoft.com/office/drawing/2014/chart" uri="{C3380CC4-5D6E-409C-BE32-E72D297353CC}">
              <c16:uniqueId val="{0000000E-FCE7-40F5-AA4F-C79F45C7CFC0}"/>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Capstone.xlsx]PIVOT TABLE!PivotTable9</c:name>
    <c:fmtId val="9"/>
  </c:pivotSource>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US" sz="1200" b="1">
                <a:solidFill>
                  <a:srgbClr val="002060"/>
                </a:solidFill>
              </a:rPr>
              <a:t> WORKFORCE DISTRIBUTION</a:t>
            </a:r>
          </a:p>
        </c:rich>
      </c:tx>
      <c:layout>
        <c:manualLayout>
          <c:xMode val="edge"/>
          <c:yMode val="edge"/>
          <c:x val="0.20664085896142431"/>
          <c:y val="4.617510180337405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85698584224428"/>
          <c:y val="0.27046143765123704"/>
          <c:w val="0.67976369257770641"/>
          <c:h val="0.65853267165534302"/>
        </c:manualLayout>
      </c:layout>
      <c:barChart>
        <c:barDir val="bar"/>
        <c:grouping val="clustered"/>
        <c:varyColors val="0"/>
        <c:ser>
          <c:idx val="0"/>
          <c:order val="0"/>
          <c:tx>
            <c:strRef>
              <c:f>'PIVOT TABLE'!$L$5</c:f>
              <c:strCache>
                <c:ptCount val="1"/>
                <c:pt idx="0">
                  <c:v>Total</c:v>
                </c:pt>
              </c:strCache>
            </c:strRef>
          </c:tx>
          <c:spPr>
            <a:solidFill>
              <a:srgbClr val="002060"/>
            </a:solidFill>
            <a:ln>
              <a:noFill/>
            </a:ln>
            <a:effectLst/>
          </c:spPr>
          <c:invertIfNegative val="0"/>
          <c:dLbls>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TABLE'!$K$6:$K$13</c:f>
              <c:strCache>
                <c:ptCount val="7"/>
                <c:pt idx="0">
                  <c:v>Finance</c:v>
                </c:pt>
                <c:pt idx="1">
                  <c:v>HR</c:v>
                </c:pt>
                <c:pt idx="2">
                  <c:v>IT</c:v>
                </c:pt>
                <c:pt idx="3">
                  <c:v>Marketing</c:v>
                </c:pt>
                <c:pt idx="4">
                  <c:v>Operations</c:v>
                </c:pt>
                <c:pt idx="5">
                  <c:v>Production</c:v>
                </c:pt>
                <c:pt idx="6">
                  <c:v>Sales</c:v>
                </c:pt>
              </c:strCache>
            </c:strRef>
          </c:cat>
          <c:val>
            <c:numRef>
              <c:f>'PIVOT TABLE'!$L$6:$L$13</c:f>
              <c:numCache>
                <c:formatCode>General</c:formatCode>
                <c:ptCount val="7"/>
                <c:pt idx="0">
                  <c:v>8</c:v>
                </c:pt>
                <c:pt idx="1">
                  <c:v>6</c:v>
                </c:pt>
                <c:pt idx="2">
                  <c:v>5</c:v>
                </c:pt>
                <c:pt idx="3">
                  <c:v>5</c:v>
                </c:pt>
                <c:pt idx="4">
                  <c:v>7</c:v>
                </c:pt>
                <c:pt idx="5">
                  <c:v>2</c:v>
                </c:pt>
                <c:pt idx="6">
                  <c:v>7</c:v>
                </c:pt>
              </c:numCache>
            </c:numRef>
          </c:val>
          <c:extLst>
            <c:ext xmlns:c16="http://schemas.microsoft.com/office/drawing/2014/chart" uri="{C3380CC4-5D6E-409C-BE32-E72D297353CC}">
              <c16:uniqueId val="{00000000-AB1D-45D0-BEAA-4CA74D8CB1A3}"/>
            </c:ext>
          </c:extLst>
        </c:ser>
        <c:dLbls>
          <c:dLblPos val="outEnd"/>
          <c:showLegendKey val="0"/>
          <c:showVal val="1"/>
          <c:showCatName val="0"/>
          <c:showSerName val="0"/>
          <c:showPercent val="0"/>
          <c:showBubbleSize val="0"/>
        </c:dLbls>
        <c:gapWidth val="156"/>
        <c:axId val="1276460640"/>
        <c:axId val="1276471200"/>
      </c:barChart>
      <c:catAx>
        <c:axId val="1276460640"/>
        <c:scaling>
          <c:orientation val="maxMin"/>
        </c:scaling>
        <c:delete val="0"/>
        <c:axPos val="l"/>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76471200"/>
        <c:crosses val="autoZero"/>
        <c:auto val="1"/>
        <c:lblAlgn val="ctr"/>
        <c:lblOffset val="100"/>
        <c:noMultiLvlLbl val="0"/>
      </c:catAx>
      <c:valAx>
        <c:axId val="1276471200"/>
        <c:scaling>
          <c:orientation val="minMax"/>
        </c:scaling>
        <c:delete val="1"/>
        <c:axPos val="t"/>
        <c:numFmt formatCode="General" sourceLinked="1"/>
        <c:majorTickMark val="out"/>
        <c:minorTickMark val="none"/>
        <c:tickLblPos val="nextTo"/>
        <c:crossAx val="1276460640"/>
        <c:crossesAt val="8"/>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schemeClr val="accent1">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Analytics Capstone.xlsx]PIVOT TABLE!PivotTable1</c:name>
    <c:fmtId val="31"/>
  </c:pivotSource>
  <c:chart>
    <c:title>
      <c:tx>
        <c:rich>
          <a:bodyPr rot="0" spcFirstLastPara="1" vertOverflow="ellipsis" vert="horz" wrap="square" anchor="ctr" anchorCtr="1"/>
          <a:lstStyle/>
          <a:p>
            <a:pPr algn="ctr">
              <a:defRPr sz="1200" b="1" i="0" u="none" strike="noStrike" kern="1200" spc="0" baseline="0">
                <a:solidFill>
                  <a:srgbClr val="002060"/>
                </a:solidFill>
                <a:latin typeface="+mn-lt"/>
                <a:ea typeface="+mn-ea"/>
                <a:cs typeface="+mn-cs"/>
              </a:defRPr>
            </a:pPr>
            <a:r>
              <a:rPr lang="en-US" sz="1200" b="1">
                <a:solidFill>
                  <a:srgbClr val="002060"/>
                </a:solidFill>
              </a:rPr>
              <a:t>AVERAGE COMPENSATION ANALYSIS</a:t>
            </a:r>
          </a:p>
        </c:rich>
      </c:tx>
      <c:layout>
        <c:manualLayout>
          <c:xMode val="edge"/>
          <c:yMode val="edge"/>
          <c:x val="0.15698843568145993"/>
          <c:y val="1.9014677365572288E-2"/>
        </c:manualLayout>
      </c:layout>
      <c:overlay val="0"/>
      <c:spPr>
        <a:noFill/>
        <a:ln>
          <a:noFill/>
        </a:ln>
        <a:effectLst/>
      </c:spPr>
      <c:txPr>
        <a:bodyPr rot="0" spcFirstLastPara="1" vertOverflow="ellipsis" vert="horz" wrap="square" anchor="ctr" anchorCtr="1"/>
        <a:lstStyle/>
        <a:p>
          <a:pPr algn="ctr">
            <a:defRPr sz="1200" b="1" i="0" u="none" strike="noStrike" kern="1200" spc="0" baseline="0">
              <a:solidFill>
                <a:srgbClr val="00206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dLbl>
          <c:idx val="0"/>
          <c:layout>
            <c:manualLayout>
              <c:x val="-3.1699919106935516E-17"/>
              <c:y val="-0.216774149499791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dLbl>
          <c:idx val="0"/>
          <c:layout>
            <c:manualLayout>
              <c:x val="2.4207490598153688E-2"/>
              <c:y val="-0.270967686874739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dLbl>
          <c:idx val="0"/>
          <c:layout>
            <c:manualLayout>
              <c:x val="2.7665703540747141E-2"/>
              <c:y val="-0.356128959892515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dLbl>
          <c:idx val="0"/>
          <c:layout>
            <c:manualLayout>
              <c:x val="6.916425885186786E-2"/>
              <c:y val="-0.332903158160394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76693201284027"/>
          <c:y val="0.19486111111111112"/>
          <c:w val="0.72373960567543316"/>
          <c:h val="0.72088764946048411"/>
        </c:manualLayout>
      </c:layout>
      <c:bar3DChart>
        <c:barDir val="col"/>
        <c:grouping val="stacked"/>
        <c:varyColors val="0"/>
        <c:ser>
          <c:idx val="0"/>
          <c:order val="0"/>
          <c:tx>
            <c:strRef>
              <c:f>'PIVOT TABLE'!$I$14</c:f>
              <c:strCache>
                <c:ptCount val="1"/>
                <c:pt idx="0">
                  <c:v>Total</c:v>
                </c:pt>
              </c:strCache>
            </c:strRef>
          </c:tx>
          <c:spPr>
            <a:solidFill>
              <a:schemeClr val="accent6"/>
            </a:solidFill>
            <a:ln>
              <a:noFill/>
            </a:ln>
            <a:effectLst/>
            <a:sp3d/>
          </c:spPr>
          <c:invertIfNegative val="0"/>
          <c:dPt>
            <c:idx val="0"/>
            <c:invertIfNegative val="0"/>
            <c:bubble3D val="0"/>
            <c:spPr>
              <a:solidFill>
                <a:schemeClr val="accent6"/>
              </a:solidFill>
              <a:ln>
                <a:noFill/>
              </a:ln>
              <a:effectLst/>
              <a:sp3d/>
            </c:spPr>
            <c:extLst>
              <c:ext xmlns:c16="http://schemas.microsoft.com/office/drawing/2014/chart" uri="{C3380CC4-5D6E-409C-BE32-E72D297353CC}">
                <c16:uniqueId val="{00000001-BF4A-42DE-96E4-AF7A44B8C081}"/>
              </c:ext>
            </c:extLst>
          </c:dPt>
          <c:dPt>
            <c:idx val="1"/>
            <c:invertIfNegative val="0"/>
            <c:bubble3D val="0"/>
            <c:spPr>
              <a:solidFill>
                <a:schemeClr val="accent6"/>
              </a:solidFill>
              <a:ln>
                <a:noFill/>
              </a:ln>
              <a:effectLst/>
              <a:sp3d/>
            </c:spPr>
            <c:extLst>
              <c:ext xmlns:c16="http://schemas.microsoft.com/office/drawing/2014/chart" uri="{C3380CC4-5D6E-409C-BE32-E72D297353CC}">
                <c16:uniqueId val="{00000002-BF4A-42DE-96E4-AF7A44B8C081}"/>
              </c:ext>
            </c:extLst>
          </c:dPt>
          <c:dPt>
            <c:idx val="2"/>
            <c:invertIfNegative val="0"/>
            <c:bubble3D val="0"/>
            <c:spPr>
              <a:solidFill>
                <a:schemeClr val="accent6"/>
              </a:solidFill>
              <a:ln>
                <a:noFill/>
              </a:ln>
              <a:effectLst/>
              <a:sp3d/>
            </c:spPr>
            <c:extLst>
              <c:ext xmlns:c16="http://schemas.microsoft.com/office/drawing/2014/chart" uri="{C3380CC4-5D6E-409C-BE32-E72D297353CC}">
                <c16:uniqueId val="{00000003-BF4A-42DE-96E4-AF7A44B8C081}"/>
              </c:ext>
            </c:extLst>
          </c:dPt>
          <c:dPt>
            <c:idx val="3"/>
            <c:invertIfNegative val="0"/>
            <c:bubble3D val="0"/>
            <c:spPr>
              <a:solidFill>
                <a:schemeClr val="accent6"/>
              </a:solidFill>
              <a:ln>
                <a:noFill/>
              </a:ln>
              <a:effectLst/>
              <a:sp3d/>
            </c:spPr>
            <c:extLst>
              <c:ext xmlns:c16="http://schemas.microsoft.com/office/drawing/2014/chart" uri="{C3380CC4-5D6E-409C-BE32-E72D297353CC}">
                <c16:uniqueId val="{00000004-BF4A-42DE-96E4-AF7A44B8C081}"/>
              </c:ext>
            </c:extLst>
          </c:dPt>
          <c:dLbls>
            <c:dLbl>
              <c:idx val="0"/>
              <c:layout>
                <c:manualLayout>
                  <c:x val="-3.1699919106935516E-17"/>
                  <c:y val="-0.216774149499791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4A-42DE-96E4-AF7A44B8C081}"/>
                </c:ext>
              </c:extLst>
            </c:dLbl>
            <c:dLbl>
              <c:idx val="1"/>
              <c:layout>
                <c:manualLayout>
                  <c:x val="2.4207490598153688E-2"/>
                  <c:y val="-0.270967686874739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4A-42DE-96E4-AF7A44B8C081}"/>
                </c:ext>
              </c:extLst>
            </c:dLbl>
            <c:dLbl>
              <c:idx val="2"/>
              <c:layout>
                <c:manualLayout>
                  <c:x val="2.7665703540747141E-2"/>
                  <c:y val="-0.356128959892515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4A-42DE-96E4-AF7A44B8C081}"/>
                </c:ext>
              </c:extLst>
            </c:dLbl>
            <c:dLbl>
              <c:idx val="3"/>
              <c:layout>
                <c:manualLayout>
                  <c:x val="6.916425885186786E-2"/>
                  <c:y val="-0.332903158160394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4A-42DE-96E4-AF7A44B8C08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TABLE'!$H$15:$H$19</c:f>
              <c:strCache>
                <c:ptCount val="4"/>
                <c:pt idx="0">
                  <c:v>Entry</c:v>
                </c:pt>
                <c:pt idx="1">
                  <c:v>Junior</c:v>
                </c:pt>
                <c:pt idx="2">
                  <c:v>Mid</c:v>
                </c:pt>
                <c:pt idx="3">
                  <c:v>Senior</c:v>
                </c:pt>
              </c:strCache>
            </c:strRef>
          </c:cat>
          <c:val>
            <c:numRef>
              <c:f>'PIVOT TABLE'!$I$15:$I$19</c:f>
              <c:numCache>
                <c:formatCode>_ [$₹-4009]\ * #,##0_ ;_ [$₹-4009]\ * \-#,##0_ ;_ [$₹-4009]\ * "-"??_ ;_ @_ </c:formatCode>
                <c:ptCount val="4"/>
                <c:pt idx="0">
                  <c:v>445142.3</c:v>
                </c:pt>
                <c:pt idx="1">
                  <c:v>595576.71428571432</c:v>
                </c:pt>
                <c:pt idx="2">
                  <c:v>1013823.8666666667</c:v>
                </c:pt>
                <c:pt idx="3">
                  <c:v>1370702.875</c:v>
                </c:pt>
              </c:numCache>
            </c:numRef>
          </c:val>
          <c:extLst>
            <c:ext xmlns:c16="http://schemas.microsoft.com/office/drawing/2014/chart" uri="{C3380CC4-5D6E-409C-BE32-E72D297353CC}">
              <c16:uniqueId val="{00000000-BF4A-42DE-96E4-AF7A44B8C081}"/>
            </c:ext>
          </c:extLst>
        </c:ser>
        <c:dLbls>
          <c:showLegendKey val="0"/>
          <c:showVal val="1"/>
          <c:showCatName val="0"/>
          <c:showSerName val="0"/>
          <c:showPercent val="0"/>
          <c:showBubbleSize val="0"/>
        </c:dLbls>
        <c:gapWidth val="219"/>
        <c:shape val="box"/>
        <c:axId val="1448194336"/>
        <c:axId val="1448179936"/>
        <c:axId val="0"/>
      </c:bar3DChart>
      <c:catAx>
        <c:axId val="144819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2"/>
                </a:solidFill>
                <a:latin typeface="+mn-lt"/>
                <a:ea typeface="+mn-ea"/>
                <a:cs typeface="+mn-cs"/>
              </a:defRPr>
            </a:pPr>
            <a:endParaRPr lang="en-US"/>
          </a:p>
        </c:txPr>
        <c:crossAx val="1448179936"/>
        <c:crosses val="autoZero"/>
        <c:auto val="1"/>
        <c:lblAlgn val="ctr"/>
        <c:lblOffset val="100"/>
        <c:noMultiLvlLbl val="0"/>
      </c:catAx>
      <c:valAx>
        <c:axId val="1448179936"/>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144819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4.svg"/><Relationship Id="rId18" Type="http://schemas.openxmlformats.org/officeDocument/2006/relationships/chart" Target="../charts/chart6.xml"/><Relationship Id="rId26" Type="http://schemas.openxmlformats.org/officeDocument/2006/relationships/image" Target="../media/image18.svg"/><Relationship Id="rId3" Type="http://schemas.openxmlformats.org/officeDocument/2006/relationships/image" Target="../media/image3.png"/><Relationship Id="rId21" Type="http://schemas.openxmlformats.org/officeDocument/2006/relationships/chart" Target="../charts/chart9.xml"/><Relationship Id="rId7" Type="http://schemas.openxmlformats.org/officeDocument/2006/relationships/image" Target="../media/image7.png"/><Relationship Id="rId12" Type="http://schemas.openxmlformats.org/officeDocument/2006/relationships/image" Target="../media/image13.png"/><Relationship Id="rId17" Type="http://schemas.openxmlformats.org/officeDocument/2006/relationships/chart" Target="../charts/chart5.xml"/><Relationship Id="rId25"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24" Type="http://schemas.openxmlformats.org/officeDocument/2006/relationships/image" Target="../media/image16.svg"/><Relationship Id="rId5" Type="http://schemas.openxmlformats.org/officeDocument/2006/relationships/image" Target="../media/image5.png"/><Relationship Id="rId15" Type="http://schemas.openxmlformats.org/officeDocument/2006/relationships/chart" Target="../charts/chart3.xml"/><Relationship Id="rId23"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 Id="rId22"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76200</xdr:rowOff>
    </xdr:from>
    <xdr:to>
      <xdr:col>0</xdr:col>
      <xdr:colOff>838200</xdr:colOff>
      <xdr:row>19</xdr:row>
      <xdr:rowOff>123825</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9071304B-0169-7A84-8600-56001AD0DC6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1790700"/>
              <a:ext cx="838200" cy="1952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1123950</xdr:colOff>
      <xdr:row>9</xdr:row>
      <xdr:rowOff>76200</xdr:rowOff>
    </xdr:from>
    <xdr:to>
      <xdr:col>3</xdr:col>
      <xdr:colOff>0</xdr:colOff>
      <xdr:row>22</xdr:row>
      <xdr:rowOff>123825</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988AF050-E21C-0875-21D1-AEBAC5B6B61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23950" y="1790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84667</xdr:colOff>
      <xdr:row>0</xdr:row>
      <xdr:rowOff>63500</xdr:rowOff>
    </xdr:from>
    <xdr:to>
      <xdr:col>22</xdr:col>
      <xdr:colOff>275168</xdr:colOff>
      <xdr:row>3</xdr:row>
      <xdr:rowOff>63500</xdr:rowOff>
    </xdr:to>
    <xdr:sp macro="" textlink="">
      <xdr:nvSpPr>
        <xdr:cNvPr id="2" name="Rectangle: Rounded Corners 1">
          <a:extLst>
            <a:ext uri="{FF2B5EF4-FFF2-40B4-BE49-F238E27FC236}">
              <a16:creationId xmlns:a16="http://schemas.microsoft.com/office/drawing/2014/main" id="{EA970E36-B348-DF90-1146-961916C0B296}"/>
            </a:ext>
          </a:extLst>
        </xdr:cNvPr>
        <xdr:cNvSpPr/>
      </xdr:nvSpPr>
      <xdr:spPr>
        <a:xfrm>
          <a:off x="84667" y="63500"/>
          <a:ext cx="13694834" cy="571500"/>
        </a:xfrm>
        <a:prstGeom prst="roundRect">
          <a:avLst/>
        </a:prstGeom>
        <a:solidFill>
          <a:srgbClr val="00206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84666</xdr:colOff>
      <xdr:row>3</xdr:row>
      <xdr:rowOff>105834</xdr:rowOff>
    </xdr:from>
    <xdr:to>
      <xdr:col>2</xdr:col>
      <xdr:colOff>560917</xdr:colOff>
      <xdr:row>15</xdr:row>
      <xdr:rowOff>116418</xdr:rowOff>
    </xdr:to>
    <mc:AlternateContent xmlns:mc="http://schemas.openxmlformats.org/markup-compatibility/2006" xmlns:a14="http://schemas.microsoft.com/office/drawing/2010/main">
      <mc:Choice Requires="a14">
        <xdr:graphicFrame macro="">
          <xdr:nvGraphicFramePr>
            <xdr:cNvPr id="12" name="Department 1">
              <a:extLst>
                <a:ext uri="{FF2B5EF4-FFF2-40B4-BE49-F238E27FC236}">
                  <a16:creationId xmlns:a16="http://schemas.microsoft.com/office/drawing/2014/main" id="{694120E9-59A3-4324-B283-9521643BE84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4665" y="677333"/>
              <a:ext cx="1905001" cy="2688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534881</xdr:colOff>
      <xdr:row>1</xdr:row>
      <xdr:rowOff>0</xdr:rowOff>
    </xdr:from>
    <xdr:to>
      <xdr:col>14</xdr:col>
      <xdr:colOff>185629</xdr:colOff>
      <xdr:row>2</xdr:row>
      <xdr:rowOff>95250</xdr:rowOff>
    </xdr:to>
    <xdr:sp macro="" textlink="">
      <xdr:nvSpPr>
        <xdr:cNvPr id="3" name="TextBox 2">
          <a:extLst>
            <a:ext uri="{FF2B5EF4-FFF2-40B4-BE49-F238E27FC236}">
              <a16:creationId xmlns:a16="http://schemas.microsoft.com/office/drawing/2014/main" id="{CC20A97A-9D3D-7D2D-1A02-495DEBD38C31}"/>
            </a:ext>
          </a:extLst>
        </xdr:cNvPr>
        <xdr:cNvSpPr txBox="1"/>
      </xdr:nvSpPr>
      <xdr:spPr>
        <a:xfrm>
          <a:off x="2990214" y="190500"/>
          <a:ext cx="578908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ctr"/>
          <a:r>
            <a:rPr lang="en-US" sz="2400" b="1">
              <a:solidFill>
                <a:schemeClr val="tx1"/>
              </a:solidFill>
            </a:rPr>
            <a:t>                       </a:t>
          </a:r>
          <a:r>
            <a:rPr lang="en-US" sz="2400" b="1">
              <a:solidFill>
                <a:schemeClr val="bg1"/>
              </a:solidFill>
            </a:rPr>
            <a:t>HR</a:t>
          </a:r>
          <a:r>
            <a:rPr lang="en-US" sz="2400" b="1" baseline="0">
              <a:solidFill>
                <a:schemeClr val="bg1"/>
              </a:solidFill>
            </a:rPr>
            <a:t> ANALYTICS CAPSTONE</a:t>
          </a:r>
          <a:endParaRPr lang="en-US" sz="2400" b="1">
            <a:solidFill>
              <a:schemeClr val="bg1"/>
            </a:solidFill>
          </a:endParaRPr>
        </a:p>
      </xdr:txBody>
    </xdr:sp>
    <xdr:clientData/>
  </xdr:twoCellAnchor>
  <xdr:twoCellAnchor editAs="oneCell">
    <xdr:from>
      <xdr:col>0</xdr:col>
      <xdr:colOff>74084</xdr:colOff>
      <xdr:row>15</xdr:row>
      <xdr:rowOff>169333</xdr:rowOff>
    </xdr:from>
    <xdr:to>
      <xdr:col>2</xdr:col>
      <xdr:colOff>560916</xdr:colOff>
      <xdr:row>21</xdr:row>
      <xdr:rowOff>127000</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B98C9E0B-C7C6-48C1-AC07-B65997C0879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4084" y="3026833"/>
              <a:ext cx="1714499" cy="1100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21167</xdr:colOff>
      <xdr:row>3</xdr:row>
      <xdr:rowOff>122767</xdr:rowOff>
    </xdr:from>
    <xdr:to>
      <xdr:col>5</xdr:col>
      <xdr:colOff>603250</xdr:colOff>
      <xdr:row>8</xdr:row>
      <xdr:rowOff>143934</xdr:rowOff>
    </xdr:to>
    <xdr:sp macro="" textlink="">
      <xdr:nvSpPr>
        <xdr:cNvPr id="15" name="Rectangle 14">
          <a:extLst>
            <a:ext uri="{FF2B5EF4-FFF2-40B4-BE49-F238E27FC236}">
              <a16:creationId xmlns:a16="http://schemas.microsoft.com/office/drawing/2014/main" id="{9DE46EC8-A9D9-4E12-EAE8-F6394D75F834}"/>
            </a:ext>
          </a:extLst>
        </xdr:cNvPr>
        <xdr:cNvSpPr/>
      </xdr:nvSpPr>
      <xdr:spPr>
        <a:xfrm>
          <a:off x="1862667" y="694267"/>
          <a:ext cx="1809750" cy="973667"/>
        </a:xfrm>
        <a:prstGeom prst="rect">
          <a:avLst/>
        </a:prstGeom>
        <a:solidFill>
          <a:schemeClr val="bg1"/>
        </a:solidFill>
        <a:ln w="15875" cmpd="sng">
          <a:solidFill>
            <a:schemeClr val="tx1"/>
          </a:solidFill>
          <a:extLst>
            <a:ext uri="{C807C97D-BFC1-408E-A445-0C87EB9F89A2}">
              <ask:lineSketchStyleProps xmlns:ask="http://schemas.microsoft.com/office/drawing/2018/sketchyshapes">
                <ask:type>
                  <ask:lineSketchNone/>
                </ask:type>
              </ask:lineSketchStyleProps>
            </a:ext>
          </a:extLst>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a:t>
          </a:r>
        </a:p>
      </xdr:txBody>
    </xdr:sp>
    <xdr:clientData/>
  </xdr:twoCellAnchor>
  <xdr:twoCellAnchor>
    <xdr:from>
      <xdr:col>3</xdr:col>
      <xdr:colOff>47308</xdr:colOff>
      <xdr:row>4</xdr:row>
      <xdr:rowOff>0</xdr:rowOff>
    </xdr:from>
    <xdr:to>
      <xdr:col>5</xdr:col>
      <xdr:colOff>560917</xdr:colOff>
      <xdr:row>5</xdr:row>
      <xdr:rowOff>84667</xdr:rowOff>
    </xdr:to>
    <xdr:sp macro="" textlink="">
      <xdr:nvSpPr>
        <xdr:cNvPr id="20" name="TextBox 19">
          <a:extLst>
            <a:ext uri="{FF2B5EF4-FFF2-40B4-BE49-F238E27FC236}">
              <a16:creationId xmlns:a16="http://schemas.microsoft.com/office/drawing/2014/main" id="{23E2FC4A-A8C2-F4D0-15A3-5B4954FF43DD}"/>
            </a:ext>
          </a:extLst>
        </xdr:cNvPr>
        <xdr:cNvSpPr txBox="1"/>
      </xdr:nvSpPr>
      <xdr:spPr>
        <a:xfrm>
          <a:off x="1888808" y="762000"/>
          <a:ext cx="1741276"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ysClr val="windowText" lastClr="000000"/>
              </a:solidFill>
            </a:rPr>
            <a:t>TOTAL </a:t>
          </a:r>
          <a:r>
            <a:rPr lang="en-US" sz="1500" b="1">
              <a:solidFill>
                <a:sysClr val="windowText" lastClr="000000"/>
              </a:solidFill>
            </a:rPr>
            <a:t>WORKFORCE</a:t>
          </a:r>
        </a:p>
      </xdr:txBody>
    </xdr:sp>
    <xdr:clientData/>
  </xdr:twoCellAnchor>
  <xdr:twoCellAnchor editAs="oneCell">
    <xdr:from>
      <xdr:col>3</xdr:col>
      <xdr:colOff>95249</xdr:colOff>
      <xdr:row>5</xdr:row>
      <xdr:rowOff>15554</xdr:rowOff>
    </xdr:from>
    <xdr:to>
      <xdr:col>4</xdr:col>
      <xdr:colOff>179918</xdr:colOff>
      <xdr:row>8</xdr:row>
      <xdr:rowOff>142556</xdr:rowOff>
    </xdr:to>
    <xdr:pic>
      <xdr:nvPicPr>
        <xdr:cNvPr id="26" name="Graphic 25" descr="Users with solid fill">
          <a:extLst>
            <a:ext uri="{FF2B5EF4-FFF2-40B4-BE49-F238E27FC236}">
              <a16:creationId xmlns:a16="http://schemas.microsoft.com/office/drawing/2014/main" id="{4DCBBB13-02FD-614E-8E0E-4D57FEEBD6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36749" y="968054"/>
          <a:ext cx="698502" cy="698502"/>
        </a:xfrm>
        <a:prstGeom prst="rect">
          <a:avLst/>
        </a:prstGeom>
      </xdr:spPr>
    </xdr:pic>
    <xdr:clientData/>
  </xdr:twoCellAnchor>
  <xdr:twoCellAnchor>
    <xdr:from>
      <xdr:col>6</xdr:col>
      <xdr:colOff>110807</xdr:colOff>
      <xdr:row>3</xdr:row>
      <xdr:rowOff>127000</xdr:rowOff>
    </xdr:from>
    <xdr:to>
      <xdr:col>8</xdr:col>
      <xdr:colOff>328084</xdr:colOff>
      <xdr:row>8</xdr:row>
      <xdr:rowOff>148167</xdr:rowOff>
    </xdr:to>
    <xdr:sp macro="" textlink="">
      <xdr:nvSpPr>
        <xdr:cNvPr id="27" name="Rectangle 26">
          <a:extLst>
            <a:ext uri="{FF2B5EF4-FFF2-40B4-BE49-F238E27FC236}">
              <a16:creationId xmlns:a16="http://schemas.microsoft.com/office/drawing/2014/main" id="{B0198EBE-F831-8773-95E2-22D7D245B27E}"/>
            </a:ext>
          </a:extLst>
        </xdr:cNvPr>
        <xdr:cNvSpPr/>
      </xdr:nvSpPr>
      <xdr:spPr>
        <a:xfrm>
          <a:off x="3793807" y="698500"/>
          <a:ext cx="1444944" cy="973667"/>
        </a:xfrm>
        <a:prstGeom prst="rect">
          <a:avLst/>
        </a:prstGeom>
        <a:solidFill>
          <a:schemeClr val="bg1"/>
        </a:solidFill>
        <a:ln w="15875" cmpd="sng">
          <a:solidFill>
            <a:schemeClr val="tx1"/>
          </a:solidFill>
          <a:extLst>
            <a:ext uri="{C807C97D-BFC1-408E-A445-0C87EB9F89A2}">
              <ask:lineSketchStyleProps xmlns:ask="http://schemas.microsoft.com/office/drawing/2018/sketchyshapes">
                <ask:type>
                  <ask:lineSketchNone/>
                </ask:type>
              </ask:lineSketchStyleProps>
            </a:ext>
          </a:extLst>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14</xdr:col>
      <xdr:colOff>176420</xdr:colOff>
      <xdr:row>3</xdr:row>
      <xdr:rowOff>116416</xdr:rowOff>
    </xdr:from>
    <xdr:to>
      <xdr:col>18</xdr:col>
      <xdr:colOff>222250</xdr:colOff>
      <xdr:row>8</xdr:row>
      <xdr:rowOff>137583</xdr:rowOff>
    </xdr:to>
    <xdr:sp macro="" textlink="">
      <xdr:nvSpPr>
        <xdr:cNvPr id="28" name="Rectangle 27">
          <a:extLst>
            <a:ext uri="{FF2B5EF4-FFF2-40B4-BE49-F238E27FC236}">
              <a16:creationId xmlns:a16="http://schemas.microsoft.com/office/drawing/2014/main" id="{879F0B18-8C9A-D09F-C396-55569F4D328D}"/>
            </a:ext>
          </a:extLst>
        </xdr:cNvPr>
        <xdr:cNvSpPr/>
      </xdr:nvSpPr>
      <xdr:spPr>
        <a:xfrm>
          <a:off x="8770087" y="687916"/>
          <a:ext cx="2501163" cy="973667"/>
        </a:xfrm>
        <a:prstGeom prst="rect">
          <a:avLst/>
        </a:prstGeom>
        <a:solidFill>
          <a:schemeClr val="bg1"/>
        </a:solidFill>
        <a:ln w="15875" cmpd="sng">
          <a:solidFill>
            <a:schemeClr val="tx1"/>
          </a:solidFill>
          <a:extLst>
            <a:ext uri="{C807C97D-BFC1-408E-A445-0C87EB9F89A2}">
              <ask:lineSketchStyleProps xmlns:ask="http://schemas.microsoft.com/office/drawing/2018/sketchyshapes">
                <ask:type>
                  <ask:lineSketchNone/>
                </ask:type>
              </ask:lineSketchStyleProps>
            </a:ext>
          </a:extLst>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8</xdr:col>
      <xdr:colOff>407141</xdr:colOff>
      <xdr:row>3</xdr:row>
      <xdr:rowOff>122763</xdr:rowOff>
    </xdr:from>
    <xdr:to>
      <xdr:col>10</xdr:col>
      <xdr:colOff>539751</xdr:colOff>
      <xdr:row>8</xdr:row>
      <xdr:rowOff>143930</xdr:rowOff>
    </xdr:to>
    <xdr:sp macro="" textlink="">
      <xdr:nvSpPr>
        <xdr:cNvPr id="29" name="Rectangle 28">
          <a:extLst>
            <a:ext uri="{FF2B5EF4-FFF2-40B4-BE49-F238E27FC236}">
              <a16:creationId xmlns:a16="http://schemas.microsoft.com/office/drawing/2014/main" id="{033D764F-82C3-FF6C-34FE-17F1A242996F}"/>
            </a:ext>
          </a:extLst>
        </xdr:cNvPr>
        <xdr:cNvSpPr/>
      </xdr:nvSpPr>
      <xdr:spPr>
        <a:xfrm>
          <a:off x="5317808" y="694263"/>
          <a:ext cx="1360276" cy="973667"/>
        </a:xfrm>
        <a:prstGeom prst="rect">
          <a:avLst/>
        </a:prstGeom>
        <a:solidFill>
          <a:schemeClr val="bg1"/>
        </a:solidFill>
        <a:ln w="15875" cmpd="sng">
          <a:solidFill>
            <a:schemeClr val="tx1"/>
          </a:solidFill>
          <a:extLst>
            <a:ext uri="{C807C97D-BFC1-408E-A445-0C87EB9F89A2}">
              <ask:lineSketchStyleProps xmlns:ask="http://schemas.microsoft.com/office/drawing/2018/sketchyshapes">
                <ask:type>
                  <ask:lineSketchNone/>
                </ask:type>
              </ask:lineSketchStyleProps>
            </a:ext>
          </a:extLst>
        </a:ln>
        <a:effectLst>
          <a:glow rad="63500">
            <a:schemeClr val="accent1">
              <a:satMod val="175000"/>
              <a:alpha val="40000"/>
            </a:schemeClr>
          </a:glow>
          <a:outerShdw blurRad="50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11</xdr:col>
      <xdr:colOff>63501</xdr:colOff>
      <xdr:row>3</xdr:row>
      <xdr:rowOff>112181</xdr:rowOff>
    </xdr:from>
    <xdr:to>
      <xdr:col>14</xdr:col>
      <xdr:colOff>74083</xdr:colOff>
      <xdr:row>8</xdr:row>
      <xdr:rowOff>133348</xdr:rowOff>
    </xdr:to>
    <xdr:sp macro="" textlink="">
      <xdr:nvSpPr>
        <xdr:cNvPr id="34" name="Rectangle 33">
          <a:extLst>
            <a:ext uri="{FF2B5EF4-FFF2-40B4-BE49-F238E27FC236}">
              <a16:creationId xmlns:a16="http://schemas.microsoft.com/office/drawing/2014/main" id="{64F0D1C9-166F-B1F6-8BF9-A472615BD77A}"/>
            </a:ext>
          </a:extLst>
        </xdr:cNvPr>
        <xdr:cNvSpPr/>
      </xdr:nvSpPr>
      <xdr:spPr>
        <a:xfrm>
          <a:off x="6815668" y="683681"/>
          <a:ext cx="1852082" cy="973667"/>
        </a:xfrm>
        <a:prstGeom prst="rect">
          <a:avLst/>
        </a:prstGeom>
        <a:solidFill>
          <a:schemeClr val="bg1"/>
        </a:solidFill>
        <a:ln w="15875" cmpd="sng">
          <a:solidFill>
            <a:schemeClr val="tx1"/>
          </a:solidFill>
          <a:extLst>
            <a:ext uri="{C807C97D-BFC1-408E-A445-0C87EB9F89A2}">
              <ask:lineSketchStyleProps xmlns:ask="http://schemas.microsoft.com/office/drawing/2018/sketchyshapes">
                <ask:type>
                  <ask:lineSketchNone/>
                </ask:type>
              </ask:lineSketchStyleProps>
            </a:ext>
          </a:extLst>
        </a:ln>
        <a:effectLst>
          <a:glow rad="63500">
            <a:schemeClr val="accent1">
              <a:satMod val="175000"/>
              <a:alpha val="40000"/>
            </a:schemeClr>
          </a:glow>
          <a:outerShdw blurRad="50800" dist="50800" dir="5400000" sx="1000" sy="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6</xdr:col>
      <xdr:colOff>116417</xdr:colOff>
      <xdr:row>4</xdr:row>
      <xdr:rowOff>10585</xdr:rowOff>
    </xdr:from>
    <xdr:to>
      <xdr:col>8</xdr:col>
      <xdr:colOff>296333</xdr:colOff>
      <xdr:row>5</xdr:row>
      <xdr:rowOff>31751</xdr:rowOff>
    </xdr:to>
    <xdr:sp macro="" textlink="">
      <xdr:nvSpPr>
        <xdr:cNvPr id="35" name="TextBox 34">
          <a:extLst>
            <a:ext uri="{FF2B5EF4-FFF2-40B4-BE49-F238E27FC236}">
              <a16:creationId xmlns:a16="http://schemas.microsoft.com/office/drawing/2014/main" id="{EA38773D-F609-54D2-DB08-2998EE35D4CE}"/>
            </a:ext>
          </a:extLst>
        </xdr:cNvPr>
        <xdr:cNvSpPr txBox="1"/>
      </xdr:nvSpPr>
      <xdr:spPr>
        <a:xfrm>
          <a:off x="3799417" y="772585"/>
          <a:ext cx="1407583" cy="2116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ysClr val="windowText" lastClr="000000"/>
              </a:solidFill>
            </a:rPr>
            <a:t>ACTIVE</a:t>
          </a:r>
          <a:r>
            <a:rPr lang="en-US" sz="1400" b="1" baseline="0">
              <a:solidFill>
                <a:sysClr val="windowText" lastClr="000000"/>
              </a:solidFill>
            </a:rPr>
            <a:t> HEAD HOUNT</a:t>
          </a:r>
          <a:endParaRPr lang="en-US" sz="1400" b="1">
            <a:solidFill>
              <a:sysClr val="windowText" lastClr="000000"/>
            </a:solidFill>
          </a:endParaRPr>
        </a:p>
      </xdr:txBody>
    </xdr:sp>
    <xdr:clientData/>
  </xdr:twoCellAnchor>
  <xdr:twoCellAnchor>
    <xdr:from>
      <xdr:col>14</xdr:col>
      <xdr:colOff>237805</xdr:colOff>
      <xdr:row>3</xdr:row>
      <xdr:rowOff>154517</xdr:rowOff>
    </xdr:from>
    <xdr:to>
      <xdr:col>18</xdr:col>
      <xdr:colOff>190499</xdr:colOff>
      <xdr:row>5</xdr:row>
      <xdr:rowOff>48684</xdr:rowOff>
    </xdr:to>
    <xdr:sp macro="" textlink="">
      <xdr:nvSpPr>
        <xdr:cNvPr id="37" name="TextBox 36">
          <a:extLst>
            <a:ext uri="{FF2B5EF4-FFF2-40B4-BE49-F238E27FC236}">
              <a16:creationId xmlns:a16="http://schemas.microsoft.com/office/drawing/2014/main" id="{A566CADC-3D0B-F2D9-498A-05A9F2F3D570}"/>
            </a:ext>
          </a:extLst>
        </xdr:cNvPr>
        <xdr:cNvSpPr txBox="1"/>
      </xdr:nvSpPr>
      <xdr:spPr>
        <a:xfrm>
          <a:off x="8831472" y="726017"/>
          <a:ext cx="2408027"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ysClr val="windowText" lastClr="000000"/>
              </a:solidFill>
            </a:rPr>
            <a:t>AVERAGE</a:t>
          </a:r>
          <a:r>
            <a:rPr lang="en-US" sz="1500" b="1" baseline="0">
              <a:solidFill>
                <a:sysClr val="windowText" lastClr="000000"/>
              </a:solidFill>
            </a:rPr>
            <a:t> COMPENSATION</a:t>
          </a:r>
          <a:endParaRPr lang="en-US" sz="1500" b="1">
            <a:solidFill>
              <a:sysClr val="windowText" lastClr="000000"/>
            </a:solidFill>
          </a:endParaRPr>
        </a:p>
      </xdr:txBody>
    </xdr:sp>
    <xdr:clientData/>
  </xdr:twoCellAnchor>
  <xdr:twoCellAnchor>
    <xdr:from>
      <xdr:col>11</xdr:col>
      <xdr:colOff>222249</xdr:colOff>
      <xdr:row>3</xdr:row>
      <xdr:rowOff>190498</xdr:rowOff>
    </xdr:from>
    <xdr:to>
      <xdr:col>13</xdr:col>
      <xdr:colOff>606108</xdr:colOff>
      <xdr:row>5</xdr:row>
      <xdr:rowOff>21165</xdr:rowOff>
    </xdr:to>
    <xdr:sp macro="" textlink="">
      <xdr:nvSpPr>
        <xdr:cNvPr id="38" name="TextBox 37">
          <a:extLst>
            <a:ext uri="{FF2B5EF4-FFF2-40B4-BE49-F238E27FC236}">
              <a16:creationId xmlns:a16="http://schemas.microsoft.com/office/drawing/2014/main" id="{09FD2744-0861-48DF-6C37-65949393C9C5}"/>
            </a:ext>
          </a:extLst>
        </xdr:cNvPr>
        <xdr:cNvSpPr txBox="1"/>
      </xdr:nvSpPr>
      <xdr:spPr>
        <a:xfrm>
          <a:off x="6974416" y="761998"/>
          <a:ext cx="1611525" cy="2116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500" b="1">
              <a:solidFill>
                <a:sysClr val="windowText" lastClr="000000"/>
              </a:solidFill>
            </a:rPr>
            <a:t>ATTRTION</a:t>
          </a:r>
          <a:r>
            <a:rPr lang="en-US" sz="1500" b="1" baseline="0">
              <a:solidFill>
                <a:sysClr val="windowText" lastClr="000000"/>
              </a:solidFill>
            </a:rPr>
            <a:t> RATE</a:t>
          </a:r>
          <a:endParaRPr lang="en-US" sz="1500" b="1">
            <a:solidFill>
              <a:sysClr val="windowText" lastClr="000000"/>
            </a:solidFill>
          </a:endParaRPr>
        </a:p>
      </xdr:txBody>
    </xdr:sp>
    <xdr:clientData/>
  </xdr:twoCellAnchor>
  <xdr:twoCellAnchor editAs="oneCell">
    <xdr:from>
      <xdr:col>6</xdr:col>
      <xdr:colOff>191240</xdr:colOff>
      <xdr:row>5</xdr:row>
      <xdr:rowOff>47304</xdr:rowOff>
    </xdr:from>
    <xdr:to>
      <xdr:col>7</xdr:col>
      <xdr:colOff>264584</xdr:colOff>
      <xdr:row>8</xdr:row>
      <xdr:rowOff>162981</xdr:rowOff>
    </xdr:to>
    <xdr:pic>
      <xdr:nvPicPr>
        <xdr:cNvPr id="41" name="Graphic 40" descr="Children with solid fill">
          <a:extLst>
            <a:ext uri="{FF2B5EF4-FFF2-40B4-BE49-F238E27FC236}">
              <a16:creationId xmlns:a16="http://schemas.microsoft.com/office/drawing/2014/main" id="{2129DC63-3052-D900-C310-79F0D17F20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74240" y="999804"/>
          <a:ext cx="687177" cy="687177"/>
        </a:xfrm>
        <a:prstGeom prst="rect">
          <a:avLst/>
        </a:prstGeom>
      </xdr:spPr>
    </xdr:pic>
    <xdr:clientData/>
  </xdr:twoCellAnchor>
  <xdr:twoCellAnchor editAs="oneCell">
    <xdr:from>
      <xdr:col>8</xdr:col>
      <xdr:colOff>460058</xdr:colOff>
      <xdr:row>5</xdr:row>
      <xdr:rowOff>127000</xdr:rowOff>
    </xdr:from>
    <xdr:to>
      <xdr:col>9</xdr:col>
      <xdr:colOff>303425</xdr:colOff>
      <xdr:row>8</xdr:row>
      <xdr:rowOff>12700</xdr:rowOff>
    </xdr:to>
    <xdr:pic>
      <xdr:nvPicPr>
        <xdr:cNvPr id="43" name="Graphic 42" descr="Walk with solid fill">
          <a:extLst>
            <a:ext uri="{FF2B5EF4-FFF2-40B4-BE49-F238E27FC236}">
              <a16:creationId xmlns:a16="http://schemas.microsoft.com/office/drawing/2014/main" id="{51E305BE-6E13-C34E-DD03-6F6C9C70678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70725" y="1079500"/>
          <a:ext cx="457200" cy="457200"/>
        </a:xfrm>
        <a:prstGeom prst="rect">
          <a:avLst/>
        </a:prstGeom>
      </xdr:spPr>
    </xdr:pic>
    <xdr:clientData/>
  </xdr:twoCellAnchor>
  <xdr:twoCellAnchor>
    <xdr:from>
      <xdr:col>8</xdr:col>
      <xdr:colOff>462173</xdr:colOff>
      <xdr:row>6</xdr:row>
      <xdr:rowOff>31750</xdr:rowOff>
    </xdr:from>
    <xdr:to>
      <xdr:col>9</xdr:col>
      <xdr:colOff>210291</xdr:colOff>
      <xdr:row>6</xdr:row>
      <xdr:rowOff>127000</xdr:rowOff>
    </xdr:to>
    <xdr:sp macro="" textlink="">
      <xdr:nvSpPr>
        <xdr:cNvPr id="44" name="Arrow: Right 43">
          <a:extLst>
            <a:ext uri="{FF2B5EF4-FFF2-40B4-BE49-F238E27FC236}">
              <a16:creationId xmlns:a16="http://schemas.microsoft.com/office/drawing/2014/main" id="{E01503A1-58D9-6D8C-D2CD-79E4193BCEE4}"/>
            </a:ext>
          </a:extLst>
        </xdr:cNvPr>
        <xdr:cNvSpPr/>
      </xdr:nvSpPr>
      <xdr:spPr>
        <a:xfrm>
          <a:off x="5372840" y="1174750"/>
          <a:ext cx="361951" cy="95250"/>
        </a:xfrm>
        <a:prstGeom prst="rightArrow">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243416</xdr:colOff>
      <xdr:row>5</xdr:row>
      <xdr:rowOff>97364</xdr:rowOff>
    </xdr:from>
    <xdr:to>
      <xdr:col>12</xdr:col>
      <xdr:colOff>95250</xdr:colOff>
      <xdr:row>7</xdr:row>
      <xdr:rowOff>182031</xdr:rowOff>
    </xdr:to>
    <xdr:pic>
      <xdr:nvPicPr>
        <xdr:cNvPr id="48" name="Graphic 47" descr="Warning with solid fill">
          <a:extLst>
            <a:ext uri="{FF2B5EF4-FFF2-40B4-BE49-F238E27FC236}">
              <a16:creationId xmlns:a16="http://schemas.microsoft.com/office/drawing/2014/main" id="{03DBA02A-27E9-F028-0678-345A3904FDB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95583" y="1049864"/>
          <a:ext cx="465667" cy="465667"/>
        </a:xfrm>
        <a:prstGeom prst="rect">
          <a:avLst/>
        </a:prstGeom>
      </xdr:spPr>
    </xdr:pic>
    <xdr:clientData/>
  </xdr:twoCellAnchor>
  <xdr:twoCellAnchor editAs="oneCell">
    <xdr:from>
      <xdr:col>14</xdr:col>
      <xdr:colOff>355917</xdr:colOff>
      <xdr:row>5</xdr:row>
      <xdr:rowOff>125200</xdr:rowOff>
    </xdr:from>
    <xdr:to>
      <xdr:col>15</xdr:col>
      <xdr:colOff>232833</xdr:colOff>
      <xdr:row>8</xdr:row>
      <xdr:rowOff>44449</xdr:rowOff>
    </xdr:to>
    <xdr:pic>
      <xdr:nvPicPr>
        <xdr:cNvPr id="54" name="Graphic 53" descr="Dollar with solid fill">
          <a:extLst>
            <a:ext uri="{FF2B5EF4-FFF2-40B4-BE49-F238E27FC236}">
              <a16:creationId xmlns:a16="http://schemas.microsoft.com/office/drawing/2014/main" id="{13CBC387-C7F6-0AA6-7257-EB3AA171EE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949584" y="1077700"/>
          <a:ext cx="490749" cy="490749"/>
        </a:xfrm>
        <a:prstGeom prst="rect">
          <a:avLst/>
        </a:prstGeom>
      </xdr:spPr>
    </xdr:pic>
    <xdr:clientData/>
  </xdr:twoCellAnchor>
  <xdr:twoCellAnchor>
    <xdr:from>
      <xdr:col>18</xdr:col>
      <xdr:colOff>317500</xdr:colOff>
      <xdr:row>3</xdr:row>
      <xdr:rowOff>116417</xdr:rowOff>
    </xdr:from>
    <xdr:to>
      <xdr:col>22</xdr:col>
      <xdr:colOff>338667</xdr:colOff>
      <xdr:row>8</xdr:row>
      <xdr:rowOff>148167</xdr:rowOff>
    </xdr:to>
    <xdr:graphicFrame macro="">
      <xdr:nvGraphicFramePr>
        <xdr:cNvPr id="60" name="Chart 59">
          <a:extLst>
            <a:ext uri="{FF2B5EF4-FFF2-40B4-BE49-F238E27FC236}">
              <a16:creationId xmlns:a16="http://schemas.microsoft.com/office/drawing/2014/main" id="{9AC45BB9-50A4-4414-AE76-D8B49936D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18</xdr:col>
      <xdr:colOff>493855</xdr:colOff>
      <xdr:row>5</xdr:row>
      <xdr:rowOff>34428</xdr:rowOff>
    </xdr:from>
    <xdr:to>
      <xdr:col>19</xdr:col>
      <xdr:colOff>286434</xdr:colOff>
      <xdr:row>7</xdr:row>
      <xdr:rowOff>22952</xdr:rowOff>
    </xdr:to>
    <xdr:pic>
      <xdr:nvPicPr>
        <xdr:cNvPr id="61" name="Graphic 60" descr="Male profile with solid fill">
          <a:extLst>
            <a:ext uri="{FF2B5EF4-FFF2-40B4-BE49-F238E27FC236}">
              <a16:creationId xmlns:a16="http://schemas.microsoft.com/office/drawing/2014/main" id="{8EB2E8F3-39D0-4B9F-BD84-3DD5AB3FB98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441867" y="981190"/>
          <a:ext cx="400802" cy="367229"/>
        </a:xfrm>
        <a:prstGeom prst="rect">
          <a:avLst/>
        </a:prstGeom>
      </xdr:spPr>
    </xdr:pic>
    <xdr:clientData/>
  </xdr:twoCellAnchor>
  <xdr:twoCellAnchor>
    <xdr:from>
      <xdr:col>11</xdr:col>
      <xdr:colOff>423331</xdr:colOff>
      <xdr:row>18</xdr:row>
      <xdr:rowOff>52916</xdr:rowOff>
    </xdr:from>
    <xdr:to>
      <xdr:col>17</xdr:col>
      <xdr:colOff>127001</xdr:colOff>
      <xdr:row>31</xdr:row>
      <xdr:rowOff>116417</xdr:rowOff>
    </xdr:to>
    <xdr:graphicFrame macro="">
      <xdr:nvGraphicFramePr>
        <xdr:cNvPr id="5" name="Chart 4">
          <a:extLst>
            <a:ext uri="{FF2B5EF4-FFF2-40B4-BE49-F238E27FC236}">
              <a16:creationId xmlns:a16="http://schemas.microsoft.com/office/drawing/2014/main" id="{BE5D5E72-5646-4587-9E22-8E59E55DF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xdr:colOff>
      <xdr:row>18</xdr:row>
      <xdr:rowOff>52917</xdr:rowOff>
    </xdr:from>
    <xdr:to>
      <xdr:col>7</xdr:col>
      <xdr:colOff>190501</xdr:colOff>
      <xdr:row>31</xdr:row>
      <xdr:rowOff>116416</xdr:rowOff>
    </xdr:to>
    <xdr:graphicFrame macro="">
      <xdr:nvGraphicFramePr>
        <xdr:cNvPr id="9" name="Chart 8">
          <a:extLst>
            <a:ext uri="{FF2B5EF4-FFF2-40B4-BE49-F238E27FC236}">
              <a16:creationId xmlns:a16="http://schemas.microsoft.com/office/drawing/2014/main" id="{E2BF18B2-AA7E-42C5-9CD9-2E37284FE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338668</xdr:colOff>
      <xdr:row>9</xdr:row>
      <xdr:rowOff>63500</xdr:rowOff>
    </xdr:from>
    <xdr:to>
      <xdr:col>22</xdr:col>
      <xdr:colOff>317501</xdr:colOff>
      <xdr:row>18</xdr:row>
      <xdr:rowOff>0</xdr:rowOff>
    </xdr:to>
    <xdr:graphicFrame macro="">
      <xdr:nvGraphicFramePr>
        <xdr:cNvPr id="11" name="Chart 10">
          <a:extLst>
            <a:ext uri="{FF2B5EF4-FFF2-40B4-BE49-F238E27FC236}">
              <a16:creationId xmlns:a16="http://schemas.microsoft.com/office/drawing/2014/main" id="{35E0DBA3-1729-41D7-BAD6-70A954BBB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49347</xdr:colOff>
      <xdr:row>21</xdr:row>
      <xdr:rowOff>137585</xdr:rowOff>
    </xdr:from>
    <xdr:to>
      <xdr:col>2</xdr:col>
      <xdr:colOff>550333</xdr:colOff>
      <xdr:row>31</xdr:row>
      <xdr:rowOff>76972</xdr:rowOff>
    </xdr:to>
    <xdr:graphicFrame macro="">
      <xdr:nvGraphicFramePr>
        <xdr:cNvPr id="16" name="Chart 15">
          <a:extLst>
            <a:ext uri="{FF2B5EF4-FFF2-40B4-BE49-F238E27FC236}">
              <a16:creationId xmlns:a16="http://schemas.microsoft.com/office/drawing/2014/main" id="{066EC809-2718-476F-9193-F88141409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219374</xdr:colOff>
      <xdr:row>18</xdr:row>
      <xdr:rowOff>52917</xdr:rowOff>
    </xdr:from>
    <xdr:to>
      <xdr:col>11</xdr:col>
      <xdr:colOff>389765</xdr:colOff>
      <xdr:row>31</xdr:row>
      <xdr:rowOff>116417</xdr:rowOff>
    </xdr:to>
    <xdr:graphicFrame macro="">
      <xdr:nvGraphicFramePr>
        <xdr:cNvPr id="10" name="Chart 9">
          <a:extLst>
            <a:ext uri="{FF2B5EF4-FFF2-40B4-BE49-F238E27FC236}">
              <a16:creationId xmlns:a16="http://schemas.microsoft.com/office/drawing/2014/main" id="{DE66C4D1-BC79-4FF3-BD24-DEC20BD82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169332</xdr:colOff>
      <xdr:row>18</xdr:row>
      <xdr:rowOff>52915</xdr:rowOff>
    </xdr:from>
    <xdr:to>
      <xdr:col>22</xdr:col>
      <xdr:colOff>317500</xdr:colOff>
      <xdr:row>31</xdr:row>
      <xdr:rowOff>116417</xdr:rowOff>
    </xdr:to>
    <xdr:graphicFrame macro="">
      <xdr:nvGraphicFramePr>
        <xdr:cNvPr id="17" name="Chart 16">
          <a:extLst>
            <a:ext uri="{FF2B5EF4-FFF2-40B4-BE49-F238E27FC236}">
              <a16:creationId xmlns:a16="http://schemas.microsoft.com/office/drawing/2014/main" id="{10A1F033-E832-46FE-AB06-1A0DFA74F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571500</xdr:colOff>
      <xdr:row>9</xdr:row>
      <xdr:rowOff>63501</xdr:rowOff>
    </xdr:from>
    <xdr:to>
      <xdr:col>18</xdr:col>
      <xdr:colOff>285749</xdr:colOff>
      <xdr:row>18</xdr:row>
      <xdr:rowOff>0</xdr:rowOff>
    </xdr:to>
    <xdr:graphicFrame macro="">
      <xdr:nvGraphicFramePr>
        <xdr:cNvPr id="19" name="Chart 18">
          <a:extLst>
            <a:ext uri="{FF2B5EF4-FFF2-40B4-BE49-F238E27FC236}">
              <a16:creationId xmlns:a16="http://schemas.microsoft.com/office/drawing/2014/main" id="{50C50CD0-F566-4C92-8A50-311E8B6C0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6247</xdr:colOff>
      <xdr:row>9</xdr:row>
      <xdr:rowOff>63499</xdr:rowOff>
    </xdr:from>
    <xdr:to>
      <xdr:col>7</xdr:col>
      <xdr:colOff>487763</xdr:colOff>
      <xdr:row>17</xdr:row>
      <xdr:rowOff>189739</xdr:rowOff>
    </xdr:to>
    <xdr:graphicFrame macro="">
      <xdr:nvGraphicFramePr>
        <xdr:cNvPr id="4" name="Chart 3">
          <a:extLst>
            <a:ext uri="{FF2B5EF4-FFF2-40B4-BE49-F238E27FC236}">
              <a16:creationId xmlns:a16="http://schemas.microsoft.com/office/drawing/2014/main" id="{F9D9B6C4-82E8-422D-9032-C2FF60119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7</xdr:col>
      <xdr:colOff>529166</xdr:colOff>
      <xdr:row>9</xdr:row>
      <xdr:rowOff>63499</xdr:rowOff>
    </xdr:from>
    <xdr:to>
      <xdr:col>13</xdr:col>
      <xdr:colOff>518583</xdr:colOff>
      <xdr:row>17</xdr:row>
      <xdr:rowOff>179916</xdr:rowOff>
    </xdr:to>
    <xdr:graphicFrame macro="">
      <xdr:nvGraphicFramePr>
        <xdr:cNvPr id="22" name="Chart 21">
          <a:extLst>
            <a:ext uri="{FF2B5EF4-FFF2-40B4-BE49-F238E27FC236}">
              <a16:creationId xmlns:a16="http://schemas.microsoft.com/office/drawing/2014/main" id="{2EBA9972-5D88-4AB2-AFE6-6C2D43CB3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7</xdr:col>
      <xdr:colOff>42333</xdr:colOff>
      <xdr:row>0</xdr:row>
      <xdr:rowOff>10584</xdr:rowOff>
    </xdr:from>
    <xdr:to>
      <xdr:col>8</xdr:col>
      <xdr:colOff>184149</xdr:colOff>
      <xdr:row>3</xdr:row>
      <xdr:rowOff>52917</xdr:rowOff>
    </xdr:to>
    <xdr:pic>
      <xdr:nvPicPr>
        <xdr:cNvPr id="55" name="Graphic 54" descr="Head with gears with solid fill">
          <a:extLst>
            <a:ext uri="{FF2B5EF4-FFF2-40B4-BE49-F238E27FC236}">
              <a16:creationId xmlns:a16="http://schemas.microsoft.com/office/drawing/2014/main" id="{67B444C4-DFF4-2E6F-8977-F93B13DC04E1}"/>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4339166" y="10584"/>
          <a:ext cx="755650" cy="613833"/>
        </a:xfrm>
        <a:prstGeom prst="rect">
          <a:avLst/>
        </a:prstGeom>
      </xdr:spPr>
    </xdr:pic>
    <xdr:clientData/>
  </xdr:twoCellAnchor>
  <xdr:twoCellAnchor editAs="oneCell">
    <xdr:from>
      <xdr:col>14</xdr:col>
      <xdr:colOff>149997</xdr:colOff>
      <xdr:row>0</xdr:row>
      <xdr:rowOff>0</xdr:rowOff>
    </xdr:from>
    <xdr:to>
      <xdr:col>15</xdr:col>
      <xdr:colOff>175398</xdr:colOff>
      <xdr:row>3</xdr:row>
      <xdr:rowOff>67734</xdr:rowOff>
    </xdr:to>
    <xdr:pic>
      <xdr:nvPicPr>
        <xdr:cNvPr id="57" name="Graphic 56" descr="Presentation with pie chart with solid fill">
          <a:extLst>
            <a:ext uri="{FF2B5EF4-FFF2-40B4-BE49-F238E27FC236}">
              <a16:creationId xmlns:a16="http://schemas.microsoft.com/office/drawing/2014/main" id="{F68FB96F-9493-472F-E4E3-AB0DB3B828CC}"/>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8743664" y="0"/>
          <a:ext cx="639234" cy="639234"/>
        </a:xfrm>
        <a:prstGeom prst="rect">
          <a:avLst/>
        </a:prstGeom>
      </xdr:spPr>
    </xdr:pic>
    <xdr:clientData/>
  </xdr:twoCellAnchor>
  <xdr:twoCellAnchor>
    <xdr:from>
      <xdr:col>4</xdr:col>
      <xdr:colOff>201084</xdr:colOff>
      <xdr:row>5</xdr:row>
      <xdr:rowOff>137583</xdr:rowOff>
    </xdr:from>
    <xdr:to>
      <xdr:col>5</xdr:col>
      <xdr:colOff>412750</xdr:colOff>
      <xdr:row>8</xdr:row>
      <xdr:rowOff>0</xdr:rowOff>
    </xdr:to>
    <xdr:sp macro="" textlink="'PIVOT TABLE'!B2">
      <xdr:nvSpPr>
        <xdr:cNvPr id="6" name="TextBox 5">
          <a:extLst>
            <a:ext uri="{FF2B5EF4-FFF2-40B4-BE49-F238E27FC236}">
              <a16:creationId xmlns:a16="http://schemas.microsoft.com/office/drawing/2014/main" id="{2F032114-6822-5B5E-EFC1-A1038FD87C12}"/>
            </a:ext>
          </a:extLst>
        </xdr:cNvPr>
        <xdr:cNvSpPr txBox="1"/>
      </xdr:nvSpPr>
      <xdr:spPr>
        <a:xfrm>
          <a:off x="2656417" y="1090083"/>
          <a:ext cx="825500" cy="4339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FDFE0A-BBF1-4F73-BBB9-3ABFF87AB621}" type="TxLink">
            <a:rPr lang="en-US" sz="2400" b="1" i="0" u="none" strike="noStrike">
              <a:solidFill>
                <a:srgbClr val="C00000"/>
              </a:solidFill>
              <a:latin typeface="Calibri"/>
              <a:cs typeface="Calibri"/>
            </a:rPr>
            <a:pPr algn="ctr"/>
            <a:t>50</a:t>
          </a:fld>
          <a:endParaRPr lang="en-US" sz="2400">
            <a:solidFill>
              <a:srgbClr val="C00000"/>
            </a:solidFill>
          </a:endParaRPr>
        </a:p>
      </xdr:txBody>
    </xdr:sp>
    <xdr:clientData/>
  </xdr:twoCellAnchor>
  <xdr:twoCellAnchor>
    <xdr:from>
      <xdr:col>7</xdr:col>
      <xdr:colOff>243417</xdr:colOff>
      <xdr:row>5</xdr:row>
      <xdr:rowOff>141816</xdr:rowOff>
    </xdr:from>
    <xdr:to>
      <xdr:col>8</xdr:col>
      <xdr:colOff>289983</xdr:colOff>
      <xdr:row>8</xdr:row>
      <xdr:rowOff>4233</xdr:rowOff>
    </xdr:to>
    <xdr:sp macro="" textlink="'PIVOT TABLE'!B3">
      <xdr:nvSpPr>
        <xdr:cNvPr id="7" name="TextBox 6">
          <a:extLst>
            <a:ext uri="{FF2B5EF4-FFF2-40B4-BE49-F238E27FC236}">
              <a16:creationId xmlns:a16="http://schemas.microsoft.com/office/drawing/2014/main" id="{DA0094A1-8431-679F-46DE-16651ECD758B}"/>
            </a:ext>
          </a:extLst>
        </xdr:cNvPr>
        <xdr:cNvSpPr txBox="1"/>
      </xdr:nvSpPr>
      <xdr:spPr>
        <a:xfrm>
          <a:off x="4540250" y="1094316"/>
          <a:ext cx="660400" cy="4339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AA9594D-6FCE-4D9C-8372-F072237AB072}" type="TxLink">
            <a:rPr lang="en-US" sz="2400" b="1" i="0" u="none" strike="noStrike">
              <a:solidFill>
                <a:srgbClr val="C00000"/>
              </a:solidFill>
              <a:latin typeface="Calibri"/>
              <a:cs typeface="Calibri"/>
            </a:rPr>
            <a:pPr algn="ctr"/>
            <a:t>40</a:t>
          </a:fld>
          <a:endParaRPr lang="en-US" sz="2400">
            <a:solidFill>
              <a:srgbClr val="C00000"/>
            </a:solidFill>
          </a:endParaRPr>
        </a:p>
      </xdr:txBody>
    </xdr:sp>
    <xdr:clientData/>
  </xdr:twoCellAnchor>
  <xdr:twoCellAnchor>
    <xdr:from>
      <xdr:col>9</xdr:col>
      <xdr:colOff>36723</xdr:colOff>
      <xdr:row>3</xdr:row>
      <xdr:rowOff>143933</xdr:rowOff>
    </xdr:from>
    <xdr:to>
      <xdr:col>10</xdr:col>
      <xdr:colOff>309775</xdr:colOff>
      <xdr:row>7</xdr:row>
      <xdr:rowOff>71966</xdr:rowOff>
    </xdr:to>
    <xdr:grpSp>
      <xdr:nvGrpSpPr>
        <xdr:cNvPr id="31" name="Group 30">
          <a:extLst>
            <a:ext uri="{FF2B5EF4-FFF2-40B4-BE49-F238E27FC236}">
              <a16:creationId xmlns:a16="http://schemas.microsoft.com/office/drawing/2014/main" id="{A3D6D12D-0BB2-6737-8C24-0AA4DFE553E8}"/>
            </a:ext>
          </a:extLst>
        </xdr:cNvPr>
        <xdr:cNvGrpSpPr/>
      </xdr:nvGrpSpPr>
      <xdr:grpSpPr>
        <a:xfrm>
          <a:off x="5561223" y="715433"/>
          <a:ext cx="886885" cy="690033"/>
          <a:chOff x="5688224" y="842433"/>
          <a:chExt cx="886885" cy="690033"/>
        </a:xfrm>
      </xdr:grpSpPr>
      <xdr:sp macro="" textlink="">
        <xdr:nvSpPr>
          <xdr:cNvPr id="39" name="TextBox 38">
            <a:extLst>
              <a:ext uri="{FF2B5EF4-FFF2-40B4-BE49-F238E27FC236}">
                <a16:creationId xmlns:a16="http://schemas.microsoft.com/office/drawing/2014/main" id="{755E756F-8ED8-3960-3D78-E8621E141446}"/>
              </a:ext>
            </a:extLst>
          </xdr:cNvPr>
          <xdr:cNvSpPr txBox="1"/>
        </xdr:nvSpPr>
        <xdr:spPr>
          <a:xfrm>
            <a:off x="5688224" y="842433"/>
            <a:ext cx="886885" cy="275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b="1">
                <a:solidFill>
                  <a:sysClr val="windowText" lastClr="000000"/>
                </a:solidFill>
              </a:rPr>
              <a:t>EXIT</a:t>
            </a:r>
            <a:r>
              <a:rPr lang="en-US" sz="1500" b="1" baseline="0">
                <a:solidFill>
                  <a:sysClr val="windowText" lastClr="000000"/>
                </a:solidFill>
              </a:rPr>
              <a:t> HC</a:t>
            </a:r>
            <a:endParaRPr lang="en-US" sz="1500" b="1">
              <a:solidFill>
                <a:sysClr val="windowText" lastClr="000000"/>
              </a:solidFill>
            </a:endParaRPr>
          </a:p>
        </xdr:txBody>
      </xdr:sp>
      <xdr:sp macro="" textlink="'PIVOT TABLE'!B7">
        <xdr:nvSpPr>
          <xdr:cNvPr id="8" name="TextBox 7">
            <a:extLst>
              <a:ext uri="{FF2B5EF4-FFF2-40B4-BE49-F238E27FC236}">
                <a16:creationId xmlns:a16="http://schemas.microsoft.com/office/drawing/2014/main" id="{0681C9B3-A026-52EC-C7D7-E2C869EA8ACC}"/>
              </a:ext>
            </a:extLst>
          </xdr:cNvPr>
          <xdr:cNvSpPr txBox="1"/>
        </xdr:nvSpPr>
        <xdr:spPr>
          <a:xfrm>
            <a:off x="5884335" y="1195917"/>
            <a:ext cx="635000" cy="3365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CE4170-2943-44E4-9FF2-22A84F5D9E37}" type="TxLink">
              <a:rPr lang="en-US" sz="2400" b="1" i="0" u="none" strike="noStrike">
                <a:solidFill>
                  <a:srgbClr val="C00000"/>
                </a:solidFill>
                <a:latin typeface="Calibri"/>
                <a:cs typeface="Calibri"/>
              </a:rPr>
              <a:pPr algn="ctr"/>
              <a:t>10</a:t>
            </a:fld>
            <a:endParaRPr lang="en-US" sz="4800">
              <a:solidFill>
                <a:srgbClr val="C00000"/>
              </a:solidFill>
            </a:endParaRPr>
          </a:p>
        </xdr:txBody>
      </xdr:sp>
    </xdr:grpSp>
    <xdr:clientData/>
  </xdr:twoCellAnchor>
  <xdr:twoCellAnchor>
    <xdr:from>
      <xdr:col>12</xdr:col>
      <xdr:colOff>182032</xdr:colOff>
      <xdr:row>5</xdr:row>
      <xdr:rowOff>97365</xdr:rowOff>
    </xdr:from>
    <xdr:to>
      <xdr:col>13</xdr:col>
      <xdr:colOff>393699</xdr:colOff>
      <xdr:row>7</xdr:row>
      <xdr:rowOff>150282</xdr:rowOff>
    </xdr:to>
    <xdr:sp macro="" textlink="'PIVOT TABLE'!B4">
      <xdr:nvSpPr>
        <xdr:cNvPr id="14" name="TextBox 13">
          <a:extLst>
            <a:ext uri="{FF2B5EF4-FFF2-40B4-BE49-F238E27FC236}">
              <a16:creationId xmlns:a16="http://schemas.microsoft.com/office/drawing/2014/main" id="{95C4A94F-501B-5E18-BDE7-BB0F8CF7CD66}"/>
            </a:ext>
          </a:extLst>
        </xdr:cNvPr>
        <xdr:cNvSpPr txBox="1"/>
      </xdr:nvSpPr>
      <xdr:spPr>
        <a:xfrm>
          <a:off x="7548032" y="1049865"/>
          <a:ext cx="825500" cy="4339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680A80-5D26-4639-AA96-C944934DEC82}" type="TxLink">
            <a:rPr lang="en-US" sz="2400" b="1" i="0" u="none" strike="noStrike">
              <a:solidFill>
                <a:srgbClr val="C00000"/>
              </a:solidFill>
              <a:latin typeface="Calibri"/>
              <a:cs typeface="Calibri"/>
            </a:rPr>
            <a:pPr algn="ctr"/>
            <a:t>20%</a:t>
          </a:fld>
          <a:endParaRPr lang="en-US" sz="4800">
            <a:solidFill>
              <a:srgbClr val="C00000"/>
            </a:solidFill>
          </a:endParaRPr>
        </a:p>
      </xdr:txBody>
    </xdr:sp>
    <xdr:clientData/>
  </xdr:twoCellAnchor>
  <xdr:twoCellAnchor>
    <xdr:from>
      <xdr:col>15</xdr:col>
      <xdr:colOff>186266</xdr:colOff>
      <xdr:row>5</xdr:row>
      <xdr:rowOff>143931</xdr:rowOff>
    </xdr:from>
    <xdr:to>
      <xdr:col>17</xdr:col>
      <xdr:colOff>455082</xdr:colOff>
      <xdr:row>8</xdr:row>
      <xdr:rowOff>6348</xdr:rowOff>
    </xdr:to>
    <xdr:sp macro="" textlink="'PIVOT TABLE'!B5">
      <xdr:nvSpPr>
        <xdr:cNvPr id="18" name="TextBox 17">
          <a:extLst>
            <a:ext uri="{FF2B5EF4-FFF2-40B4-BE49-F238E27FC236}">
              <a16:creationId xmlns:a16="http://schemas.microsoft.com/office/drawing/2014/main" id="{08B39C6A-6884-17B6-399A-6BCE1A6D07EE}"/>
            </a:ext>
          </a:extLst>
        </xdr:cNvPr>
        <xdr:cNvSpPr txBox="1"/>
      </xdr:nvSpPr>
      <xdr:spPr>
        <a:xfrm>
          <a:off x="9393766" y="1096431"/>
          <a:ext cx="1496483" cy="4339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3065BA6-AF45-4158-8A89-8442A891A245}" type="TxLink">
            <a:rPr lang="en-US" sz="2400" b="1" i="0" u="none" strike="noStrike">
              <a:solidFill>
                <a:srgbClr val="C00000"/>
              </a:solidFill>
              <a:latin typeface="Calibri"/>
              <a:cs typeface="Calibri"/>
            </a:rPr>
            <a:pPr algn="ctr"/>
            <a:t>₹ 869,836</a:t>
          </a:fld>
          <a:endParaRPr lang="en-US" sz="4800">
            <a:solidFill>
              <a:srgbClr val="C00000"/>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0.81659</cdr:x>
      <cdr:y>0.51613</cdr:y>
    </cdr:from>
    <cdr:to>
      <cdr:x>0.96821</cdr:x>
      <cdr:y>0.91398</cdr:y>
    </cdr:to>
    <cdr:pic>
      <cdr:nvPicPr>
        <cdr:cNvPr id="3" name="Graphic 11" descr="Female Profile with solid fill">
          <a:extLst xmlns:a="http://schemas.openxmlformats.org/drawingml/2006/main">
            <a:ext uri="{FF2B5EF4-FFF2-40B4-BE49-F238E27FC236}">
              <a16:creationId xmlns:a16="http://schemas.microsoft.com/office/drawing/2014/main" id="{6DC201A2-5A5F-F20B-EFA7-E6C22A75002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022295" y="507999"/>
          <a:ext cx="375487" cy="391584"/>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38BDC7B2-9EA6-8F26-74DA-C0660F5A03A0}"/>
            </a:ext>
          </a:extLst>
        </cdr:cNvPr>
        <cdr:cNvSpPr/>
      </cdr:nvSpPr>
      <cdr:spPr>
        <a:xfrm xmlns:a="http://schemas.openxmlformats.org/drawingml/2006/main">
          <a:off x="0" y="0"/>
          <a:ext cx="1855652" cy="2011680"/>
        </a:xfrm>
        <a:prstGeom xmlns:a="http://schemas.openxmlformats.org/drawingml/2006/main" prst="rect">
          <a:avLst/>
        </a:prstGeom>
        <a:noFill xmlns:a="http://schemas.openxmlformats.org/drawingml/2006/main"/>
        <a:ln xmlns:a="http://schemas.openxmlformats.org/drawingml/2006/main" w="9525"/>
        <a:effectLst xmlns:a="http://schemas.openxmlformats.org/drawingml/2006/main">
          <a:outerShdw blurRad="63500" sx="102000" sy="102000" algn="ctr" rotWithShape="0">
            <a:schemeClr val="accent1">
              <a:lumMod val="60000"/>
              <a:lumOff val="40000"/>
              <a:alpha val="40000"/>
            </a:schemeClr>
          </a:outerShdw>
        </a:effectLst>
      </cdr:spPr>
      <cdr:style>
        <a:lnRef xmlns:a="http://schemas.openxmlformats.org/drawingml/2006/main" idx="2">
          <a:schemeClr val="dk1"/>
        </a:lnRef>
        <a:fillRef xmlns:a="http://schemas.openxmlformats.org/drawingml/2006/main" idx="1">
          <a:schemeClr val="lt1"/>
        </a:fillRef>
        <a:effectRef xmlns:a="http://schemas.openxmlformats.org/drawingml/2006/main" idx="0">
          <a:schemeClr val="dk1"/>
        </a:effectRef>
        <a:fontRef xmlns:a="http://schemas.openxmlformats.org/drawingml/2006/main" idx="minor">
          <a:schemeClr val="dk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solidFill>
              <a:schemeClr val="tx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5.633098958337" createdVersion="8" refreshedVersion="8" minRefreshableVersion="3" recordCount="30" xr:uid="{3AE794AE-10BB-4E45-80E1-79C1C7173EFB}">
  <cacheSource type="worksheet">
    <worksheetSource name="Recruitment_Updated"/>
  </cacheSource>
  <cacheFields count="11">
    <cacheField name="Temp_ID" numFmtId="0">
      <sharedItems/>
    </cacheField>
    <cacheField name="Applied_Position" numFmtId="0">
      <sharedItems/>
    </cacheField>
    <cacheField name="Applied_Department" numFmtId="0">
      <sharedItems/>
    </cacheField>
    <cacheField name="Experience" numFmtId="0">
      <sharedItems containsSemiMixedTypes="0" containsString="0" containsNumber="1" minValue="0.4" maxValue="11.7"/>
    </cacheField>
    <cacheField name="Application_Date" numFmtId="14">
      <sharedItems containsSemiMixedTypes="0" containsNonDate="0" containsDate="1" containsString="0" minDate="2023-01-04T00:00:00" maxDate="2023-12-18T00:00:00"/>
    </cacheField>
    <cacheField name="Application Month" numFmtId="14">
      <sharedItems/>
    </cacheField>
    <cacheField name="Interview_Date" numFmtId="14">
      <sharedItems containsSemiMixedTypes="0" containsNonDate="0" containsDate="1" containsString="0" minDate="2023-01-11T00:00:00" maxDate="2023-12-27T00:00:00"/>
    </cacheField>
    <cacheField name="Interview Month" numFmtId="14">
      <sharedItems/>
    </cacheField>
    <cacheField name="Sourcing_Channel" numFmtId="0">
      <sharedItems/>
    </cacheField>
    <cacheField name="Interview_Status" numFmtId="0">
      <sharedItems/>
    </cacheField>
    <cacheField name="Hiring Funel Stage" numFmtId="14">
      <sharedItems count="4">
        <s v="In Progress"/>
        <s v="Shortlisted"/>
        <s v="Final Stage"/>
        <s v="Rejecte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5.633099305553" createdVersion="8" refreshedVersion="8" minRefreshableVersion="3" recordCount="201" xr:uid="{0C23468F-F5A1-44BF-ACC2-5E796EC40F0F}">
  <cacheSource type="worksheet">
    <worksheetSource ref="A1:E1048576" sheet="Attendance_Status_Updated"/>
  </cacheSource>
  <cacheFields count="5">
    <cacheField name="AttendanceID" numFmtId="0">
      <sharedItems containsBlank="1"/>
    </cacheField>
    <cacheField name="Emp_ID" numFmtId="0">
      <sharedItems containsBlank="1" count="41">
        <s v="A001"/>
        <s v="A002"/>
        <s v="A003"/>
        <s v="A004"/>
        <s v="A005"/>
        <s v="A006"/>
        <s v="A007"/>
        <s v="A008"/>
        <s v="A009"/>
        <s v="A010"/>
        <s v="A011"/>
        <s v="A012"/>
        <s v="A013"/>
        <s v="A014"/>
        <s v="A015"/>
        <s v="A016"/>
        <s v="A017"/>
        <s v="A018"/>
        <s v="A019"/>
        <s v="A020"/>
        <s v="A021"/>
        <s v="A022"/>
        <s v="A023"/>
        <s v="A024"/>
        <s v="A025"/>
        <s v="A026"/>
        <s v="A027"/>
        <s v="A028"/>
        <s v="A029"/>
        <s v="A030"/>
        <s v="A031"/>
        <s v="A032"/>
        <s v="A033"/>
        <s v="A034"/>
        <s v="A035"/>
        <s v="A036"/>
        <s v="A037"/>
        <s v="A038"/>
        <s v="A039"/>
        <s v="A040"/>
        <m/>
      </sharedItems>
    </cacheField>
    <cacheField name="Attendance_Date" numFmtId="0">
      <sharedItems containsNonDate="0" containsDate="1" containsString="0" containsBlank="1" minDate="2024-01-01T00:00:00" maxDate="2024-01-06T00:00:00" count="6">
        <d v="2024-01-01T00:00:00"/>
        <d v="2024-01-02T00:00:00"/>
        <d v="2024-01-03T00:00:00"/>
        <d v="2024-01-04T00:00:00"/>
        <d v="2024-01-05T00:00:00"/>
        <m/>
      </sharedItems>
    </cacheField>
    <cacheField name="Attendance_Status" numFmtId="0">
      <sharedItems containsBlank="1"/>
    </cacheField>
    <cacheField name="Absent Flag" numFmtId="0">
      <sharedItems containsString="0" containsBlank="1"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6.546068518517" createdVersion="8" refreshedVersion="8" minRefreshableVersion="3" recordCount="50" xr:uid="{84C8F1ED-C7CA-408E-807F-8AEB8B5E9C4E}">
  <cacheSource type="worksheet">
    <worksheetSource name="_1_Employee_Master_Updated10"/>
  </cacheSource>
  <cacheFields count="25">
    <cacheField name="Emp_ID" numFmtId="0">
      <sharedItems count="50">
        <s v="A001"/>
        <s v="A002"/>
        <s v="A003"/>
        <s v="A004"/>
        <s v="A005"/>
        <s v="A006"/>
        <s v="A007"/>
        <s v="A008"/>
        <s v="A009"/>
        <s v="A010"/>
        <s v="A011"/>
        <s v="A012"/>
        <s v="A013"/>
        <s v="A014"/>
        <s v="A015"/>
        <s v="A016"/>
        <s v="A017"/>
        <s v="A018"/>
        <s v="A019"/>
        <s v="A020"/>
        <s v="A021"/>
        <s v="A022"/>
        <s v="A023"/>
        <s v="A024"/>
        <s v="A025"/>
        <s v="A026"/>
        <s v="A027"/>
        <s v="A028"/>
        <s v="A029"/>
        <s v="A030"/>
        <s v="A031"/>
        <s v="A032"/>
        <s v="A033"/>
        <s v="A034"/>
        <s v="A035"/>
        <s v="A036"/>
        <s v="A037"/>
        <s v="A038"/>
        <s v="A039"/>
        <s v="A040"/>
        <s v="A041"/>
        <s v="A042"/>
        <s v="A043"/>
        <s v="A044"/>
        <s v="A045"/>
        <s v="A046"/>
        <s v="A047"/>
        <s v="A048"/>
        <s v="A049"/>
        <s v="A050"/>
      </sharedItems>
    </cacheField>
    <cacheField name="Name" numFmtId="0">
      <sharedItems/>
    </cacheField>
    <cacheField name="Age" numFmtId="0">
      <sharedItems containsSemiMixedTypes="0" containsString="0" containsNumber="1" containsInteger="1" minValue="24" maxValue="44"/>
    </cacheField>
    <cacheField name="Age Group" numFmtId="14">
      <sharedItems/>
    </cacheField>
    <cacheField name="Gender" numFmtId="0">
      <sharedItems count="2">
        <s v="Male"/>
        <s v="Female"/>
      </sharedItems>
    </cacheField>
    <cacheField name="Date Of joining" numFmtId="14">
      <sharedItems/>
    </cacheField>
    <cacheField name="DOB" numFmtId="14">
      <sharedItems containsSemiMixedTypes="0" containsNonDate="0" containsDate="1" containsString="0" minDate="1981-05-19T00:00:00" maxDate="2001-09-21T00:00:00"/>
    </cacheField>
    <cacheField name="Designation" numFmtId="0">
      <sharedItems/>
    </cacheField>
    <cacheField name="DOJ" numFmtId="14">
      <sharedItems containsSemiMixedTypes="0" containsNonDate="0" containsDate="1" containsString="0" minDate="2020-01-19T00:00:00" maxDate="2023-10-15T00:00:00"/>
    </cacheField>
    <cacheField name="Location" numFmtId="0">
      <sharedItems/>
    </cacheField>
    <cacheField name="Department" numFmtId="0">
      <sharedItems count="7">
        <s v="Operations"/>
        <s v="Sales"/>
        <s v="Finance"/>
        <s v="IT"/>
        <s v="Marketing"/>
        <s v="Production"/>
        <s v="HR"/>
      </sharedItems>
    </cacheField>
    <cacheField name="Designation2" numFmtId="0">
      <sharedItems/>
    </cacheField>
    <cacheField name="Employee_Type" numFmtId="0">
      <sharedItems count="2">
        <s v="Contract"/>
        <s v="Permanent"/>
      </sharedItems>
    </cacheField>
    <cacheField name="Work_Location_Type" numFmtId="0">
      <sharedItems count="3">
        <s v="Hybrid"/>
        <s v="Office"/>
        <s v="Work From Home"/>
      </sharedItems>
    </cacheField>
    <cacheField name="Employment_Status" numFmtId="0">
      <sharedItems count="2">
        <s v="Active"/>
        <s v="Exit"/>
      </sharedItems>
    </cacheField>
    <cacheField name="Attrition Flag" numFmtId="0">
      <sharedItems/>
    </cacheField>
    <cacheField name="Attrition Reasons" numFmtId="0">
      <sharedItems count="12">
        <s v="Lack of career growth"/>
        <s v="Technical training needed"/>
        <s v="Commute issues"/>
        <s v="None"/>
        <s v="Request for flexible hours"/>
        <s v="Salary market adjustment request"/>
        <s v="Workload concerns"/>
        <s v="Interpersonal conflict"/>
        <s v="Commute time"/>
        <s v="Relocation"/>
        <s v="Personal reasons"/>
        <s v="Career change"/>
      </sharedItems>
    </cacheField>
    <cacheField name="Salary" numFmtId="165">
      <sharedItems containsSemiMixedTypes="0" containsString="0" containsNumber="1" containsInteger="1" minValue="306964" maxValue="1496475"/>
    </cacheField>
    <cacheField name="Salary Band" numFmtId="0">
      <sharedItems count="4">
        <s v="Senior"/>
        <s v="Junior"/>
        <s v="Mid"/>
        <s v="Entry"/>
      </sharedItems>
    </cacheField>
    <cacheField name="Performance Rating" numFmtId="0">
      <sharedItems containsSemiMixedTypes="0" containsString="0" containsNumber="1" minValue="3" maxValue="4.9000000000000004"/>
    </cacheField>
    <cacheField name="Engagement Score" numFmtId="0">
      <sharedItems containsMixedTypes="1" containsNumber="1" minValue="2" maxValue="4.25"/>
    </cacheField>
    <cacheField name="Job_Satisfaction" numFmtId="0">
      <sharedItems containsSemiMixedTypes="0" containsString="0" containsNumber="1" containsInteger="1" minValue="3" maxValue="5"/>
    </cacheField>
    <cacheField name="Attendance Percentage" numFmtId="9">
      <sharedItems containsSemiMixedTypes="0" containsString="0" containsNumber="1" minValue="0.6" maxValue="1"/>
    </cacheField>
    <cacheField name="Appraisal Percentage" numFmtId="9">
      <sharedItems containsSemiMixedTypes="0" containsString="0" containsNumber="1" minValue="0.05" maxValue="0.15"/>
    </cacheField>
    <cacheField name="Absenteesim Flag" numFmtId="0">
      <sharedItems/>
    </cacheField>
  </cacheFields>
  <extLst>
    <ext xmlns:x14="http://schemas.microsoft.com/office/spreadsheetml/2009/9/main" uri="{725AE2AE-9491-48be-B2B4-4EB974FC3084}">
      <x14:pivotCacheDefinition pivotCacheId="106328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T001"/>
    <s v="Admin"/>
    <s v="IT"/>
    <n v="11.7"/>
    <d v="2023-06-17T00:00:00"/>
    <s v="Jun-2023"/>
    <d v="2023-06-24T00:00:00"/>
    <s v="06-2023"/>
    <s v="Naukri"/>
    <s v="On Hold"/>
    <x v="0"/>
  </r>
  <r>
    <s v="T002"/>
    <s v="Recruiter"/>
    <s v="Production"/>
    <n v="8.5"/>
    <d v="2023-11-23T00:00:00"/>
    <s v="Nov-2023"/>
    <d v="2023-11-25T00:00:00"/>
    <s v="11-2023"/>
    <s v="LinkedIn"/>
    <s v="Shortlisted"/>
    <x v="1"/>
  </r>
  <r>
    <s v="T003"/>
    <s v="Head of Operation"/>
    <s v="Marketing"/>
    <n v="1.7"/>
    <d v="2023-10-24T00:00:00"/>
    <s v="Oct-2023"/>
    <d v="2023-11-06T00:00:00"/>
    <s v="11-2023"/>
    <s v="LinkedIn"/>
    <s v="Offered"/>
    <x v="2"/>
  </r>
  <r>
    <s v="T004"/>
    <s v="Developer"/>
    <s v="HR"/>
    <n v="3"/>
    <d v="2023-03-08T00:00:00"/>
    <s v="Mar-2023"/>
    <d v="2023-03-11T00:00:00"/>
    <s v="03-2023"/>
    <s v="Employee Referral"/>
    <s v="Shortlisted"/>
    <x v="1"/>
  </r>
  <r>
    <s v="T005"/>
    <s v="Developer"/>
    <s v="IT"/>
    <n v="0.4"/>
    <d v="2023-12-12T00:00:00"/>
    <s v="Dec-2023"/>
    <d v="2023-12-26T00:00:00"/>
    <s v="12-2023"/>
    <s v="Direct"/>
    <s v="Offered"/>
    <x v="2"/>
  </r>
  <r>
    <s v="T006"/>
    <s v="Head of Operation"/>
    <s v="Operations"/>
    <n v="5.0999999999999996"/>
    <d v="2023-01-04T00:00:00"/>
    <s v="Jan-2023"/>
    <d v="2023-01-11T00:00:00"/>
    <s v="01-2023"/>
    <s v="Naukri"/>
    <s v="On Hold"/>
    <x v="0"/>
  </r>
  <r>
    <s v="T007"/>
    <s v="Recruiter"/>
    <s v="Finance"/>
    <n v="5.7"/>
    <d v="2023-03-20T00:00:00"/>
    <s v="Mar-2023"/>
    <d v="2023-03-29T00:00:00"/>
    <s v="03-2023"/>
    <s v="LinkedIn"/>
    <s v="Offered"/>
    <x v="2"/>
  </r>
  <r>
    <s v="T008"/>
    <s v="Team Lead"/>
    <s v="IT"/>
    <n v="4.9000000000000004"/>
    <d v="2023-09-13T00:00:00"/>
    <s v="Sep-2023"/>
    <d v="2023-09-20T00:00:00"/>
    <s v="09-2023"/>
    <s v="Employee Referral"/>
    <s v="On Hold"/>
    <x v="0"/>
  </r>
  <r>
    <s v="T009"/>
    <s v="Head of Operation"/>
    <s v="Finance"/>
    <n v="3"/>
    <d v="2023-11-05T00:00:00"/>
    <s v="Nov-2023"/>
    <d v="2023-11-16T00:00:00"/>
    <s v="11-2023"/>
    <s v="Employee Referral"/>
    <s v="Offered"/>
    <x v="2"/>
  </r>
  <r>
    <s v="T010"/>
    <s v="Executive"/>
    <s v="IT"/>
    <n v="3.9"/>
    <d v="2023-10-21T00:00:00"/>
    <s v="Oct-2023"/>
    <d v="2023-11-02T00:00:00"/>
    <s v="11-2023"/>
    <s v="Employee Referral"/>
    <s v="Shortlisted"/>
    <x v="1"/>
  </r>
  <r>
    <s v="T011"/>
    <s v="Recruiter"/>
    <s v="IT"/>
    <n v="5.7"/>
    <d v="2023-10-14T00:00:00"/>
    <s v="Oct-2023"/>
    <d v="2023-10-20T00:00:00"/>
    <s v="10-2023"/>
    <s v="Direct"/>
    <s v="Rejected"/>
    <x v="3"/>
  </r>
  <r>
    <s v="T012"/>
    <s v="Head of Operation"/>
    <s v="Sales"/>
    <n v="5"/>
    <d v="2023-12-10T00:00:00"/>
    <s v="Dec-2023"/>
    <d v="2023-12-25T00:00:00"/>
    <s v="12-2023"/>
    <s v="Direct"/>
    <s v="Offered"/>
    <x v="2"/>
  </r>
  <r>
    <s v="T013"/>
    <s v="Head of Operation"/>
    <s v="Operations"/>
    <n v="1.5"/>
    <d v="2023-10-23T00:00:00"/>
    <s v="Oct-2023"/>
    <d v="2023-11-04T00:00:00"/>
    <s v="11-2023"/>
    <s v="Indeed"/>
    <s v="Shortlisted"/>
    <x v="1"/>
  </r>
  <r>
    <s v="T014"/>
    <s v="Manager"/>
    <s v="IT"/>
    <n v="10.1"/>
    <d v="2023-04-28T00:00:00"/>
    <s v="Apr-2023"/>
    <d v="2023-05-03T00:00:00"/>
    <s v="05-2023"/>
    <s v="Naukri"/>
    <s v="Rejected"/>
    <x v="3"/>
  </r>
  <r>
    <s v="T015"/>
    <s v="Admin"/>
    <s v="Sales"/>
    <n v="8"/>
    <d v="2023-10-27T00:00:00"/>
    <s v="Oct-2023"/>
    <d v="2023-11-08T00:00:00"/>
    <s v="11-2023"/>
    <s v="Naukri"/>
    <s v="Offered"/>
    <x v="2"/>
  </r>
  <r>
    <s v="T016"/>
    <s v="Executive"/>
    <s v="Finance"/>
    <n v="0.5"/>
    <d v="2023-03-01T00:00:00"/>
    <s v="Mar-2023"/>
    <d v="2023-03-05T00:00:00"/>
    <s v="03-2023"/>
    <s v="LinkedIn"/>
    <s v="Rejected"/>
    <x v="3"/>
  </r>
  <r>
    <s v="T017"/>
    <s v="Analyst"/>
    <s v="Finance"/>
    <n v="7.5"/>
    <d v="2023-09-07T00:00:00"/>
    <s v="Sep-2023"/>
    <d v="2023-09-21T00:00:00"/>
    <s v="09-2023"/>
    <s v="Employee Referral"/>
    <s v="On Hold"/>
    <x v="0"/>
  </r>
  <r>
    <s v="T018"/>
    <s v="Manager"/>
    <s v="Sales"/>
    <n v="4.7"/>
    <d v="2023-05-15T00:00:00"/>
    <s v="May-2023"/>
    <d v="2023-05-28T00:00:00"/>
    <s v="05-2023"/>
    <s v="Indeed"/>
    <s v="Shortlisted"/>
    <x v="1"/>
  </r>
  <r>
    <s v="T019"/>
    <s v="Analyst"/>
    <s v="Finance"/>
    <n v="1.3"/>
    <d v="2023-03-28T00:00:00"/>
    <s v="Mar-2023"/>
    <d v="2023-03-30T00:00:00"/>
    <s v="03-2023"/>
    <s v="Indeed"/>
    <s v="Rejected"/>
    <x v="3"/>
  </r>
  <r>
    <s v="T020"/>
    <s v="Executive"/>
    <s v="Sales"/>
    <n v="6.3"/>
    <d v="2023-12-17T00:00:00"/>
    <s v="Dec-2023"/>
    <d v="2023-12-20T00:00:00"/>
    <s v="12-2023"/>
    <s v="Direct"/>
    <s v="Shortlisted"/>
    <x v="1"/>
  </r>
  <r>
    <s v="T021"/>
    <s v="Admin"/>
    <s v="Production"/>
    <n v="7.9"/>
    <d v="2023-04-20T00:00:00"/>
    <s v="Apr-2023"/>
    <d v="2023-05-01T00:00:00"/>
    <s v="05-2023"/>
    <s v="Indeed"/>
    <s v="Offered"/>
    <x v="2"/>
  </r>
  <r>
    <s v="T022"/>
    <s v="Head of Operation"/>
    <s v="Operations"/>
    <n v="2.7"/>
    <d v="2023-11-06T00:00:00"/>
    <s v="Nov-2023"/>
    <d v="2023-11-11T00:00:00"/>
    <s v="11-2023"/>
    <s v="Indeed"/>
    <s v="On Hold"/>
    <x v="0"/>
  </r>
  <r>
    <s v="T023"/>
    <s v="Manager"/>
    <s v="Finance"/>
    <n v="0.8"/>
    <d v="2023-06-06T00:00:00"/>
    <s v="Jun-2023"/>
    <d v="2023-06-16T00:00:00"/>
    <s v="06-2023"/>
    <s v="Naukri"/>
    <s v="Rejected"/>
    <x v="3"/>
  </r>
  <r>
    <s v="T024"/>
    <s v="Manager"/>
    <s v="Production"/>
    <n v="3.2"/>
    <d v="2023-04-16T00:00:00"/>
    <s v="Apr-2023"/>
    <d v="2023-04-30T00:00:00"/>
    <s v="04-2023"/>
    <s v="LinkedIn"/>
    <s v="Rejected"/>
    <x v="3"/>
  </r>
  <r>
    <s v="T025"/>
    <s v="Analyst"/>
    <s v="Operations"/>
    <n v="9.4"/>
    <d v="2023-11-17T00:00:00"/>
    <s v="Nov-2023"/>
    <d v="2023-11-19T00:00:00"/>
    <s v="11-2023"/>
    <s v="Indeed"/>
    <s v="Offered"/>
    <x v="2"/>
  </r>
  <r>
    <s v="T026"/>
    <s v="Admin"/>
    <s v="Finance"/>
    <n v="11.2"/>
    <d v="2023-03-27T00:00:00"/>
    <s v="Mar-2023"/>
    <d v="2023-04-05T00:00:00"/>
    <s v="04-2023"/>
    <s v="LinkedIn"/>
    <s v="Shortlisted"/>
    <x v="1"/>
  </r>
  <r>
    <s v="T027"/>
    <s v="Manager"/>
    <s v="Marketing"/>
    <n v="10.5"/>
    <d v="2023-06-29T00:00:00"/>
    <s v="Jun-2023"/>
    <d v="2023-07-13T00:00:00"/>
    <s v="07-2023"/>
    <s v="Direct"/>
    <s v="On Hold"/>
    <x v="0"/>
  </r>
  <r>
    <s v="T028"/>
    <s v="Recruiter"/>
    <s v="Finance"/>
    <n v="4.8"/>
    <d v="2023-11-30T00:00:00"/>
    <s v="Nov-2023"/>
    <d v="2023-12-12T00:00:00"/>
    <s v="12-2023"/>
    <s v="Indeed"/>
    <s v="On Hold"/>
    <x v="0"/>
  </r>
  <r>
    <s v="T029"/>
    <s v="Executive"/>
    <s v="HR"/>
    <n v="1.1000000000000001"/>
    <d v="2023-07-09T00:00:00"/>
    <s v="Jul-2023"/>
    <d v="2023-07-23T00:00:00"/>
    <s v="07-2023"/>
    <s v="Employee Referral"/>
    <s v="Offered"/>
    <x v="2"/>
  </r>
  <r>
    <s v="T030"/>
    <s v="Recruiter"/>
    <s v="HR"/>
    <n v="2.7"/>
    <d v="2023-09-30T00:00:00"/>
    <s v="Sep-2023"/>
    <d v="2023-10-02T00:00:00"/>
    <s v="10-2023"/>
    <s v="Indeed"/>
    <s v="Offered"/>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AT0001"/>
    <x v="0"/>
    <x v="0"/>
    <s v="Present"/>
    <n v="0"/>
  </r>
  <r>
    <s v="AT0002"/>
    <x v="1"/>
    <x v="0"/>
    <s v="Present"/>
    <n v="0"/>
  </r>
  <r>
    <s v="AT0003"/>
    <x v="2"/>
    <x v="0"/>
    <s v="Present"/>
    <n v="0"/>
  </r>
  <r>
    <s v="AT0004"/>
    <x v="3"/>
    <x v="0"/>
    <s v="Present"/>
    <n v="0"/>
  </r>
  <r>
    <s v="AT0005"/>
    <x v="4"/>
    <x v="0"/>
    <s v="Present"/>
    <n v="0"/>
  </r>
  <r>
    <s v="AT0006"/>
    <x v="5"/>
    <x v="0"/>
    <s v="Present"/>
    <n v="0"/>
  </r>
  <r>
    <s v="AT0007"/>
    <x v="6"/>
    <x v="0"/>
    <s v="Present"/>
    <n v="0"/>
  </r>
  <r>
    <s v="AT0008"/>
    <x v="7"/>
    <x v="0"/>
    <s v="Present"/>
    <n v="0"/>
  </r>
  <r>
    <s v="AT0009"/>
    <x v="8"/>
    <x v="0"/>
    <s v="Present"/>
    <n v="0"/>
  </r>
  <r>
    <s v="AT0010"/>
    <x v="9"/>
    <x v="0"/>
    <s v="Present"/>
    <n v="0"/>
  </r>
  <r>
    <s v="AT0011"/>
    <x v="10"/>
    <x v="0"/>
    <s v="Present"/>
    <n v="0"/>
  </r>
  <r>
    <s v="AT0012"/>
    <x v="11"/>
    <x v="0"/>
    <s v="Present"/>
    <n v="0"/>
  </r>
  <r>
    <s v="AT0013"/>
    <x v="12"/>
    <x v="0"/>
    <s v="Present"/>
    <n v="0"/>
  </r>
  <r>
    <s v="AT0014"/>
    <x v="13"/>
    <x v="0"/>
    <s v="Present"/>
    <n v="0"/>
  </r>
  <r>
    <s v="AT0015"/>
    <x v="14"/>
    <x v="0"/>
    <s v="Present"/>
    <n v="0"/>
  </r>
  <r>
    <s v="AT0016"/>
    <x v="15"/>
    <x v="0"/>
    <s v="Present"/>
    <n v="0"/>
  </r>
  <r>
    <s v="AT0017"/>
    <x v="16"/>
    <x v="0"/>
    <s v="Present"/>
    <n v="0"/>
  </r>
  <r>
    <s v="AT0018"/>
    <x v="17"/>
    <x v="0"/>
    <s v="Present"/>
    <n v="0"/>
  </r>
  <r>
    <s v="AT0019"/>
    <x v="18"/>
    <x v="0"/>
    <s v="Present"/>
    <n v="0"/>
  </r>
  <r>
    <s v="AT0020"/>
    <x v="19"/>
    <x v="0"/>
    <s v="Present"/>
    <n v="0"/>
  </r>
  <r>
    <s v="AT0021"/>
    <x v="20"/>
    <x v="0"/>
    <s v="Present"/>
    <n v="0"/>
  </r>
  <r>
    <s v="AT0022"/>
    <x v="21"/>
    <x v="0"/>
    <s v="Present"/>
    <n v="0"/>
  </r>
  <r>
    <s v="AT0023"/>
    <x v="22"/>
    <x v="0"/>
    <s v="Present"/>
    <n v="0"/>
  </r>
  <r>
    <s v="AT0024"/>
    <x v="23"/>
    <x v="0"/>
    <s v="Present"/>
    <n v="0"/>
  </r>
  <r>
    <s v="AT0025"/>
    <x v="24"/>
    <x v="0"/>
    <s v="Present"/>
    <n v="0"/>
  </r>
  <r>
    <s v="AT0026"/>
    <x v="25"/>
    <x v="0"/>
    <s v="Present"/>
    <n v="0"/>
  </r>
  <r>
    <s v="AT0027"/>
    <x v="26"/>
    <x v="0"/>
    <s v="Present"/>
    <n v="0"/>
  </r>
  <r>
    <s v="AT0028"/>
    <x v="27"/>
    <x v="0"/>
    <s v="Present"/>
    <n v="0"/>
  </r>
  <r>
    <s v="AT0029"/>
    <x v="28"/>
    <x v="0"/>
    <s v="Present"/>
    <n v="0"/>
  </r>
  <r>
    <s v="AT0030"/>
    <x v="29"/>
    <x v="0"/>
    <s v="Present"/>
    <n v="0"/>
  </r>
  <r>
    <s v="AT0031"/>
    <x v="30"/>
    <x v="0"/>
    <s v="Present"/>
    <n v="0"/>
  </r>
  <r>
    <s v="AT0032"/>
    <x v="31"/>
    <x v="0"/>
    <s v="Present"/>
    <n v="0"/>
  </r>
  <r>
    <s v="AT0033"/>
    <x v="32"/>
    <x v="0"/>
    <s v="Present"/>
    <n v="0"/>
  </r>
  <r>
    <s v="AT0034"/>
    <x v="33"/>
    <x v="0"/>
    <s v="Present"/>
    <n v="0"/>
  </r>
  <r>
    <s v="AT0035"/>
    <x v="34"/>
    <x v="0"/>
    <s v="Present"/>
    <n v="0"/>
  </r>
  <r>
    <s v="AT0036"/>
    <x v="35"/>
    <x v="0"/>
    <s v="Present"/>
    <n v="0"/>
  </r>
  <r>
    <s v="AT0037"/>
    <x v="36"/>
    <x v="0"/>
    <s v="Present"/>
    <n v="0"/>
  </r>
  <r>
    <s v="AT0038"/>
    <x v="37"/>
    <x v="0"/>
    <s v="Present"/>
    <n v="0"/>
  </r>
  <r>
    <s v="AT0039"/>
    <x v="38"/>
    <x v="0"/>
    <s v="Present"/>
    <n v="0"/>
  </r>
  <r>
    <s v="AT0040"/>
    <x v="39"/>
    <x v="0"/>
    <s v="Present"/>
    <n v="0"/>
  </r>
  <r>
    <s v="AT0041"/>
    <x v="0"/>
    <x v="1"/>
    <s v="Present"/>
    <n v="0"/>
  </r>
  <r>
    <s v="AT0042"/>
    <x v="1"/>
    <x v="1"/>
    <s v="Present"/>
    <n v="0"/>
  </r>
  <r>
    <s v="AT0043"/>
    <x v="2"/>
    <x v="1"/>
    <s v="Leave"/>
    <n v="0"/>
  </r>
  <r>
    <s v="AT0044"/>
    <x v="3"/>
    <x v="1"/>
    <s v="Present"/>
    <n v="0"/>
  </r>
  <r>
    <s v="AT0045"/>
    <x v="4"/>
    <x v="1"/>
    <s v="Present"/>
    <n v="0"/>
  </r>
  <r>
    <s v="AT0046"/>
    <x v="5"/>
    <x v="1"/>
    <s v="Present"/>
    <n v="0"/>
  </r>
  <r>
    <s v="AT0047"/>
    <x v="6"/>
    <x v="1"/>
    <s v="Present"/>
    <n v="0"/>
  </r>
  <r>
    <s v="AT0048"/>
    <x v="7"/>
    <x v="1"/>
    <s v="Present"/>
    <n v="0"/>
  </r>
  <r>
    <s v="AT0049"/>
    <x v="8"/>
    <x v="1"/>
    <s v="Present"/>
    <n v="0"/>
  </r>
  <r>
    <s v="AT0050"/>
    <x v="9"/>
    <x v="1"/>
    <s v="Present"/>
    <n v="0"/>
  </r>
  <r>
    <s v="AT0051"/>
    <x v="10"/>
    <x v="1"/>
    <s v="Present"/>
    <n v="0"/>
  </r>
  <r>
    <s v="AT0052"/>
    <x v="11"/>
    <x v="1"/>
    <s v="Present"/>
    <n v="0"/>
  </r>
  <r>
    <s v="AT0053"/>
    <x v="12"/>
    <x v="1"/>
    <s v="Present"/>
    <n v="0"/>
  </r>
  <r>
    <s v="AT0054"/>
    <x v="13"/>
    <x v="1"/>
    <s v="Present"/>
    <n v="0"/>
  </r>
  <r>
    <s v="AT0055"/>
    <x v="14"/>
    <x v="1"/>
    <s v="Present"/>
    <n v="0"/>
  </r>
  <r>
    <s v="AT0056"/>
    <x v="15"/>
    <x v="1"/>
    <s v="Present"/>
    <n v="0"/>
  </r>
  <r>
    <s v="AT0057"/>
    <x v="16"/>
    <x v="1"/>
    <s v="Present"/>
    <n v="0"/>
  </r>
  <r>
    <s v="AT0058"/>
    <x v="17"/>
    <x v="1"/>
    <s v="Present"/>
    <n v="0"/>
  </r>
  <r>
    <s v="AT0059"/>
    <x v="18"/>
    <x v="1"/>
    <s v="Absent"/>
    <n v="1"/>
  </r>
  <r>
    <s v="AT0060"/>
    <x v="19"/>
    <x v="1"/>
    <s v="Present"/>
    <n v="0"/>
  </r>
  <r>
    <s v="AT0061"/>
    <x v="20"/>
    <x v="1"/>
    <s v="Present"/>
    <n v="0"/>
  </r>
  <r>
    <s v="AT0062"/>
    <x v="21"/>
    <x v="1"/>
    <s v="Present"/>
    <n v="0"/>
  </r>
  <r>
    <s v="AT0063"/>
    <x v="22"/>
    <x v="1"/>
    <s v="Leave"/>
    <n v="0"/>
  </r>
  <r>
    <s v="AT0064"/>
    <x v="23"/>
    <x v="1"/>
    <s v="Present"/>
    <n v="0"/>
  </r>
  <r>
    <s v="AT0065"/>
    <x v="24"/>
    <x v="1"/>
    <s v="Present"/>
    <n v="0"/>
  </r>
  <r>
    <s v="AT0066"/>
    <x v="25"/>
    <x v="1"/>
    <s v="Present"/>
    <n v="0"/>
  </r>
  <r>
    <s v="AT0067"/>
    <x v="26"/>
    <x v="1"/>
    <s v="Present"/>
    <n v="0"/>
  </r>
  <r>
    <s v="AT0068"/>
    <x v="27"/>
    <x v="1"/>
    <s v="Present"/>
    <n v="0"/>
  </r>
  <r>
    <s v="AT0069"/>
    <x v="28"/>
    <x v="1"/>
    <s v="Present"/>
    <n v="0"/>
  </r>
  <r>
    <s v="AT0070"/>
    <x v="29"/>
    <x v="1"/>
    <s v="Present"/>
    <n v="0"/>
  </r>
  <r>
    <s v="AT0071"/>
    <x v="30"/>
    <x v="1"/>
    <s v="Present"/>
    <n v="0"/>
  </r>
  <r>
    <s v="AT0072"/>
    <x v="31"/>
    <x v="1"/>
    <s v="Present"/>
    <n v="0"/>
  </r>
  <r>
    <s v="AT0073"/>
    <x v="32"/>
    <x v="1"/>
    <s v="Absent"/>
    <n v="1"/>
  </r>
  <r>
    <s v="AT0074"/>
    <x v="33"/>
    <x v="1"/>
    <s v="Present"/>
    <n v="0"/>
  </r>
  <r>
    <s v="AT0075"/>
    <x v="34"/>
    <x v="1"/>
    <s v="Present"/>
    <n v="0"/>
  </r>
  <r>
    <s v="AT0076"/>
    <x v="35"/>
    <x v="1"/>
    <s v="Present"/>
    <n v="0"/>
  </r>
  <r>
    <s v="AT0077"/>
    <x v="36"/>
    <x v="1"/>
    <s v="Present"/>
    <n v="0"/>
  </r>
  <r>
    <s v="AT0078"/>
    <x v="37"/>
    <x v="1"/>
    <s v="Present"/>
    <n v="0"/>
  </r>
  <r>
    <s v="AT0079"/>
    <x v="38"/>
    <x v="1"/>
    <s v="Present"/>
    <n v="0"/>
  </r>
  <r>
    <s v="AT0080"/>
    <x v="39"/>
    <x v="1"/>
    <s v="Present"/>
    <n v="0"/>
  </r>
  <r>
    <s v="AT0081"/>
    <x v="0"/>
    <x v="2"/>
    <s v="Present"/>
    <n v="0"/>
  </r>
  <r>
    <s v="AT0082"/>
    <x v="1"/>
    <x v="2"/>
    <s v="Present"/>
    <n v="0"/>
  </r>
  <r>
    <s v="AT0083"/>
    <x v="2"/>
    <x v="2"/>
    <s v="Present"/>
    <n v="0"/>
  </r>
  <r>
    <s v="AT0084"/>
    <x v="3"/>
    <x v="2"/>
    <s v="Present"/>
    <n v="0"/>
  </r>
  <r>
    <s v="AT0085"/>
    <x v="4"/>
    <x v="2"/>
    <s v="Present"/>
    <n v="0"/>
  </r>
  <r>
    <s v="AT0086"/>
    <x v="5"/>
    <x v="2"/>
    <s v="Present"/>
    <n v="0"/>
  </r>
  <r>
    <s v="AT0087"/>
    <x v="6"/>
    <x v="2"/>
    <s v="Present"/>
    <n v="0"/>
  </r>
  <r>
    <s v="AT0088"/>
    <x v="7"/>
    <x v="2"/>
    <s v="Present"/>
    <n v="0"/>
  </r>
  <r>
    <s v="AT0089"/>
    <x v="8"/>
    <x v="2"/>
    <s v="Present"/>
    <n v="0"/>
  </r>
  <r>
    <s v="AT0090"/>
    <x v="9"/>
    <x v="2"/>
    <s v="Present"/>
    <n v="0"/>
  </r>
  <r>
    <s v="AT0091"/>
    <x v="10"/>
    <x v="2"/>
    <s v="Present"/>
    <n v="0"/>
  </r>
  <r>
    <s v="AT0092"/>
    <x v="11"/>
    <x v="2"/>
    <s v="Present"/>
    <n v="0"/>
  </r>
  <r>
    <s v="AT0093"/>
    <x v="12"/>
    <x v="2"/>
    <s v="Present"/>
    <n v="0"/>
  </r>
  <r>
    <s v="AT0094"/>
    <x v="13"/>
    <x v="2"/>
    <s v="Present"/>
    <n v="0"/>
  </r>
  <r>
    <s v="AT0095"/>
    <x v="14"/>
    <x v="2"/>
    <s v="Present"/>
    <n v="0"/>
  </r>
  <r>
    <s v="AT0096"/>
    <x v="15"/>
    <x v="2"/>
    <s v="Present"/>
    <n v="0"/>
  </r>
  <r>
    <s v="AT0097"/>
    <x v="16"/>
    <x v="2"/>
    <s v="Present"/>
    <n v="0"/>
  </r>
  <r>
    <s v="AT0098"/>
    <x v="17"/>
    <x v="2"/>
    <s v="Present"/>
    <n v="0"/>
  </r>
  <r>
    <s v="AT0099"/>
    <x v="18"/>
    <x v="2"/>
    <s v="Present"/>
    <n v="0"/>
  </r>
  <r>
    <s v="AT0100"/>
    <x v="19"/>
    <x v="2"/>
    <s v="Present"/>
    <n v="0"/>
  </r>
  <r>
    <s v="AT0101"/>
    <x v="20"/>
    <x v="2"/>
    <s v="Present"/>
    <n v="0"/>
  </r>
  <r>
    <s v="AT0102"/>
    <x v="21"/>
    <x v="2"/>
    <s v="Present"/>
    <n v="0"/>
  </r>
  <r>
    <s v="AT0103"/>
    <x v="22"/>
    <x v="2"/>
    <s v="Present"/>
    <n v="0"/>
  </r>
  <r>
    <s v="AT0104"/>
    <x v="23"/>
    <x v="2"/>
    <s v="Present"/>
    <n v="0"/>
  </r>
  <r>
    <s v="AT0105"/>
    <x v="24"/>
    <x v="2"/>
    <s v="Present"/>
    <n v="0"/>
  </r>
  <r>
    <s v="AT0106"/>
    <x v="25"/>
    <x v="2"/>
    <s v="Absent"/>
    <n v="1"/>
  </r>
  <r>
    <s v="AT0107"/>
    <x v="26"/>
    <x v="2"/>
    <s v="Present"/>
    <n v="0"/>
  </r>
  <r>
    <s v="AT0108"/>
    <x v="27"/>
    <x v="2"/>
    <s v="Present"/>
    <n v="0"/>
  </r>
  <r>
    <s v="AT0109"/>
    <x v="28"/>
    <x v="2"/>
    <s v="Present"/>
    <n v="0"/>
  </r>
  <r>
    <s v="AT0110"/>
    <x v="29"/>
    <x v="2"/>
    <s v="Present"/>
    <n v="0"/>
  </r>
  <r>
    <s v="AT0111"/>
    <x v="30"/>
    <x v="2"/>
    <s v="Present"/>
    <n v="0"/>
  </r>
  <r>
    <s v="AT0112"/>
    <x v="31"/>
    <x v="2"/>
    <s v="Present"/>
    <n v="0"/>
  </r>
  <r>
    <s v="AT0113"/>
    <x v="32"/>
    <x v="2"/>
    <s v="Absent"/>
    <n v="1"/>
  </r>
  <r>
    <s v="AT0114"/>
    <x v="33"/>
    <x v="2"/>
    <s v="Present"/>
    <n v="0"/>
  </r>
  <r>
    <s v="AT0115"/>
    <x v="34"/>
    <x v="2"/>
    <s v="Absent"/>
    <n v="1"/>
  </r>
  <r>
    <s v="AT0116"/>
    <x v="35"/>
    <x v="2"/>
    <s v="Present"/>
    <n v="0"/>
  </r>
  <r>
    <s v="AT0117"/>
    <x v="36"/>
    <x v="2"/>
    <s v="Present"/>
    <n v="0"/>
  </r>
  <r>
    <s v="AT0118"/>
    <x v="37"/>
    <x v="2"/>
    <s v="Present"/>
    <n v="0"/>
  </r>
  <r>
    <s v="AT0119"/>
    <x v="38"/>
    <x v="2"/>
    <s v="Present"/>
    <n v="0"/>
  </r>
  <r>
    <s v="AT0120"/>
    <x v="39"/>
    <x v="2"/>
    <s v="Present"/>
    <n v="0"/>
  </r>
  <r>
    <s v="AT0121"/>
    <x v="0"/>
    <x v="3"/>
    <s v="Present"/>
    <n v="0"/>
  </r>
  <r>
    <s v="AT0122"/>
    <x v="1"/>
    <x v="3"/>
    <s v="Present"/>
    <n v="0"/>
  </r>
  <r>
    <s v="AT0123"/>
    <x v="2"/>
    <x v="3"/>
    <s v="Present"/>
    <n v="0"/>
  </r>
  <r>
    <s v="AT0124"/>
    <x v="3"/>
    <x v="3"/>
    <s v="Present"/>
    <n v="0"/>
  </r>
  <r>
    <s v="AT0125"/>
    <x v="4"/>
    <x v="3"/>
    <s v="Absent"/>
    <n v="1"/>
  </r>
  <r>
    <s v="AT0126"/>
    <x v="5"/>
    <x v="3"/>
    <s v="Present"/>
    <n v="0"/>
  </r>
  <r>
    <s v="AT0127"/>
    <x v="6"/>
    <x v="3"/>
    <s v="Present"/>
    <n v="0"/>
  </r>
  <r>
    <s v="AT0128"/>
    <x v="7"/>
    <x v="3"/>
    <s v="Present"/>
    <n v="0"/>
  </r>
  <r>
    <s v="AT0129"/>
    <x v="8"/>
    <x v="3"/>
    <s v="Present"/>
    <n v="0"/>
  </r>
  <r>
    <s v="AT0130"/>
    <x v="9"/>
    <x v="3"/>
    <s v="Present"/>
    <n v="0"/>
  </r>
  <r>
    <s v="AT0131"/>
    <x v="10"/>
    <x v="3"/>
    <s v="Present"/>
    <n v="0"/>
  </r>
  <r>
    <s v="AT0132"/>
    <x v="11"/>
    <x v="3"/>
    <s v="Absent"/>
    <n v="1"/>
  </r>
  <r>
    <s v="AT0133"/>
    <x v="12"/>
    <x v="3"/>
    <s v="Present"/>
    <n v="0"/>
  </r>
  <r>
    <s v="AT0134"/>
    <x v="13"/>
    <x v="3"/>
    <s v="Present"/>
    <n v="0"/>
  </r>
  <r>
    <s v="AT0135"/>
    <x v="14"/>
    <x v="3"/>
    <s v="Present"/>
    <n v="0"/>
  </r>
  <r>
    <s v="AT0136"/>
    <x v="15"/>
    <x v="3"/>
    <s v="Present"/>
    <n v="0"/>
  </r>
  <r>
    <s v="AT0137"/>
    <x v="16"/>
    <x v="3"/>
    <s v="Absent"/>
    <n v="1"/>
  </r>
  <r>
    <s v="AT0138"/>
    <x v="17"/>
    <x v="3"/>
    <s v="Present"/>
    <n v="0"/>
  </r>
  <r>
    <s v="AT0139"/>
    <x v="18"/>
    <x v="3"/>
    <s v="Present"/>
    <n v="0"/>
  </r>
  <r>
    <s v="AT0140"/>
    <x v="19"/>
    <x v="3"/>
    <s v="Present"/>
    <n v="0"/>
  </r>
  <r>
    <s v="AT0141"/>
    <x v="20"/>
    <x v="3"/>
    <s v="Present"/>
    <n v="0"/>
  </r>
  <r>
    <s v="AT0142"/>
    <x v="21"/>
    <x v="3"/>
    <s v="Present"/>
    <n v="0"/>
  </r>
  <r>
    <s v="AT0143"/>
    <x v="22"/>
    <x v="3"/>
    <s v="Present"/>
    <n v="0"/>
  </r>
  <r>
    <s v="AT0144"/>
    <x v="23"/>
    <x v="3"/>
    <s v="Present"/>
    <n v="0"/>
  </r>
  <r>
    <s v="AT0145"/>
    <x v="24"/>
    <x v="3"/>
    <s v="Present"/>
    <n v="0"/>
  </r>
  <r>
    <s v="AT0146"/>
    <x v="25"/>
    <x v="3"/>
    <s v="Present"/>
    <n v="0"/>
  </r>
  <r>
    <s v="AT0147"/>
    <x v="26"/>
    <x v="3"/>
    <s v="Present"/>
    <n v="0"/>
  </r>
  <r>
    <s v="AT0148"/>
    <x v="27"/>
    <x v="3"/>
    <s v="Present"/>
    <n v="0"/>
  </r>
  <r>
    <s v="AT0149"/>
    <x v="28"/>
    <x v="3"/>
    <s v="Present"/>
    <n v="0"/>
  </r>
  <r>
    <s v="AT0150"/>
    <x v="29"/>
    <x v="3"/>
    <s v="Leave"/>
    <n v="0"/>
  </r>
  <r>
    <s v="AT0151"/>
    <x v="30"/>
    <x v="3"/>
    <s v="Present"/>
    <n v="0"/>
  </r>
  <r>
    <s v="AT0152"/>
    <x v="31"/>
    <x v="3"/>
    <s v="Present"/>
    <n v="0"/>
  </r>
  <r>
    <s v="AT0153"/>
    <x v="32"/>
    <x v="3"/>
    <s v="Present"/>
    <n v="0"/>
  </r>
  <r>
    <s v="AT0154"/>
    <x v="33"/>
    <x v="3"/>
    <s v="Present"/>
    <n v="0"/>
  </r>
  <r>
    <s v="AT0155"/>
    <x v="34"/>
    <x v="3"/>
    <s v="Present"/>
    <n v="0"/>
  </r>
  <r>
    <s v="AT0156"/>
    <x v="35"/>
    <x v="3"/>
    <s v="Present"/>
    <n v="0"/>
  </r>
  <r>
    <s v="AT0157"/>
    <x v="36"/>
    <x v="3"/>
    <s v="Present"/>
    <n v="0"/>
  </r>
  <r>
    <s v="AT0158"/>
    <x v="37"/>
    <x v="3"/>
    <s v="Present"/>
    <n v="0"/>
  </r>
  <r>
    <s v="AT0159"/>
    <x v="38"/>
    <x v="3"/>
    <s v="Present"/>
    <n v="0"/>
  </r>
  <r>
    <s v="AT0160"/>
    <x v="39"/>
    <x v="3"/>
    <s v="Present"/>
    <n v="0"/>
  </r>
  <r>
    <s v="AT0161"/>
    <x v="0"/>
    <x v="4"/>
    <s v="Present"/>
    <n v="0"/>
  </r>
  <r>
    <s v="AT0162"/>
    <x v="1"/>
    <x v="4"/>
    <s v="Present"/>
    <n v="0"/>
  </r>
  <r>
    <s v="AT0163"/>
    <x v="2"/>
    <x v="4"/>
    <s v="Present"/>
    <n v="0"/>
  </r>
  <r>
    <s v="AT0164"/>
    <x v="3"/>
    <x v="4"/>
    <s v="Present"/>
    <n v="0"/>
  </r>
  <r>
    <s v="AT0165"/>
    <x v="4"/>
    <x v="4"/>
    <s v="Present"/>
    <n v="0"/>
  </r>
  <r>
    <s v="AT0166"/>
    <x v="5"/>
    <x v="4"/>
    <s v="Absent"/>
    <n v="1"/>
  </r>
  <r>
    <s v="AT0167"/>
    <x v="6"/>
    <x v="4"/>
    <s v="Present"/>
    <n v="0"/>
  </r>
  <r>
    <s v="AT0168"/>
    <x v="7"/>
    <x v="4"/>
    <s v="Present"/>
    <n v="0"/>
  </r>
  <r>
    <s v="AT0169"/>
    <x v="8"/>
    <x v="4"/>
    <s v="Present"/>
    <n v="0"/>
  </r>
  <r>
    <s v="AT0170"/>
    <x v="9"/>
    <x v="4"/>
    <s v="Present"/>
    <n v="0"/>
  </r>
  <r>
    <s v="AT0171"/>
    <x v="10"/>
    <x v="4"/>
    <s v="Present"/>
    <n v="0"/>
  </r>
  <r>
    <s v="AT0172"/>
    <x v="11"/>
    <x v="4"/>
    <s v="Present"/>
    <n v="0"/>
  </r>
  <r>
    <s v="AT0173"/>
    <x v="12"/>
    <x v="4"/>
    <s v="Absent"/>
    <n v="1"/>
  </r>
  <r>
    <s v="AT0174"/>
    <x v="13"/>
    <x v="4"/>
    <s v="Present"/>
    <n v="0"/>
  </r>
  <r>
    <s v="AT0175"/>
    <x v="14"/>
    <x v="4"/>
    <s v="Present"/>
    <n v="0"/>
  </r>
  <r>
    <s v="AT0176"/>
    <x v="15"/>
    <x v="4"/>
    <s v="Present"/>
    <n v="0"/>
  </r>
  <r>
    <s v="AT0177"/>
    <x v="16"/>
    <x v="4"/>
    <s v="Present"/>
    <n v="0"/>
  </r>
  <r>
    <s v="AT0178"/>
    <x v="17"/>
    <x v="4"/>
    <s v="Present"/>
    <n v="0"/>
  </r>
  <r>
    <s v="AT0179"/>
    <x v="18"/>
    <x v="4"/>
    <s v="Present"/>
    <n v="0"/>
  </r>
  <r>
    <s v="AT0180"/>
    <x v="19"/>
    <x v="4"/>
    <s v="Present"/>
    <n v="0"/>
  </r>
  <r>
    <s v="AT0181"/>
    <x v="20"/>
    <x v="4"/>
    <s v="Present"/>
    <n v="0"/>
  </r>
  <r>
    <s v="AT0182"/>
    <x v="21"/>
    <x v="4"/>
    <s v="Leave"/>
    <n v="0"/>
  </r>
  <r>
    <s v="AT0183"/>
    <x v="22"/>
    <x v="4"/>
    <s v="Present"/>
    <n v="0"/>
  </r>
  <r>
    <s v="AT0184"/>
    <x v="23"/>
    <x v="4"/>
    <s v="Leave"/>
    <n v="0"/>
  </r>
  <r>
    <s v="AT0185"/>
    <x v="24"/>
    <x v="4"/>
    <s v="Present"/>
    <n v="0"/>
  </r>
  <r>
    <s v="AT0186"/>
    <x v="25"/>
    <x v="4"/>
    <s v="Present"/>
    <n v="0"/>
  </r>
  <r>
    <s v="AT0187"/>
    <x v="26"/>
    <x v="4"/>
    <s v="Present"/>
    <n v="0"/>
  </r>
  <r>
    <s v="AT0188"/>
    <x v="27"/>
    <x v="4"/>
    <s v="Present"/>
    <n v="0"/>
  </r>
  <r>
    <s v="AT0189"/>
    <x v="28"/>
    <x v="4"/>
    <s v="Present"/>
    <n v="0"/>
  </r>
  <r>
    <s v="AT0190"/>
    <x v="29"/>
    <x v="4"/>
    <s v="Present"/>
    <n v="0"/>
  </r>
  <r>
    <s v="AT0191"/>
    <x v="30"/>
    <x v="4"/>
    <s v="Present"/>
    <n v="0"/>
  </r>
  <r>
    <s v="AT0192"/>
    <x v="31"/>
    <x v="4"/>
    <s v="Present"/>
    <n v="0"/>
  </r>
  <r>
    <s v="AT0193"/>
    <x v="32"/>
    <x v="4"/>
    <s v="Present"/>
    <n v="0"/>
  </r>
  <r>
    <s v="AT0194"/>
    <x v="33"/>
    <x v="4"/>
    <s v="Present"/>
    <n v="0"/>
  </r>
  <r>
    <s v="AT0195"/>
    <x v="34"/>
    <x v="4"/>
    <s v="Present"/>
    <n v="0"/>
  </r>
  <r>
    <s v="AT0196"/>
    <x v="35"/>
    <x v="4"/>
    <s v="Present"/>
    <n v="0"/>
  </r>
  <r>
    <s v="AT0197"/>
    <x v="36"/>
    <x v="4"/>
    <s v="Present"/>
    <n v="0"/>
  </r>
  <r>
    <s v="AT0198"/>
    <x v="37"/>
    <x v="4"/>
    <s v="Present"/>
    <n v="0"/>
  </r>
  <r>
    <s v="AT0199"/>
    <x v="38"/>
    <x v="4"/>
    <s v="Present"/>
    <n v="0"/>
  </r>
  <r>
    <s v="AT0200"/>
    <x v="39"/>
    <x v="4"/>
    <s v="Leave"/>
    <n v="0"/>
  </r>
  <r>
    <m/>
    <x v="40"/>
    <x v="5"/>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Employee_1"/>
    <n v="41"/>
    <s v="36–45"/>
    <x v="0"/>
    <s v="Aug-2023"/>
    <d v="1984-12-24T00:00:00"/>
    <s v="Admin"/>
    <d v="2023-08-06T00:00:00"/>
    <s v="Chennai"/>
    <x v="0"/>
    <s v="Admin"/>
    <x v="0"/>
    <x v="0"/>
    <x v="0"/>
    <s v="No"/>
    <x v="0"/>
    <n v="1399100"/>
    <x v="0"/>
    <n v="4.2"/>
    <n v="2.75"/>
    <n v="3"/>
    <n v="0.82"/>
    <n v="0.1"/>
    <s v="NO"/>
  </r>
  <r>
    <x v="1"/>
    <s v="Employee_2"/>
    <n v="26"/>
    <s v="26–35"/>
    <x v="1"/>
    <s v="Nov-2022"/>
    <d v="1999-10-15T00:00:00"/>
    <s v="Analyst"/>
    <d v="2022-11-12T00:00:00"/>
    <s v="Pune"/>
    <x v="1"/>
    <s v="Analyst"/>
    <x v="0"/>
    <x v="0"/>
    <x v="0"/>
    <s v="No"/>
    <x v="1"/>
    <n v="674935"/>
    <x v="1"/>
    <n v="4.9000000000000004"/>
    <n v="2.75"/>
    <n v="4"/>
    <n v="0.81"/>
    <n v="0.12"/>
    <s v="NO"/>
  </r>
  <r>
    <x v="2"/>
    <s v="Employee_3"/>
    <n v="24"/>
    <s v="18–25"/>
    <x v="0"/>
    <s v="Jan-2022"/>
    <d v="2001-05-16T00:00:00"/>
    <s v="Manager"/>
    <d v="2022-01-25T00:00:00"/>
    <s v="Chennai"/>
    <x v="2"/>
    <s v="Manager"/>
    <x v="1"/>
    <x v="0"/>
    <x v="0"/>
    <s v="No"/>
    <x v="2"/>
    <n v="1010966"/>
    <x v="2"/>
    <n v="4"/>
    <n v="4"/>
    <n v="4"/>
    <n v="0.67"/>
    <n v="0.08"/>
    <s v="YES"/>
  </r>
  <r>
    <x v="3"/>
    <s v="Employee_4"/>
    <n v="30"/>
    <s v="26–35"/>
    <x v="0"/>
    <s v="Sep-2022"/>
    <d v="1995-05-02T00:00:00"/>
    <s v="Analyst"/>
    <d v="2022-09-12T00:00:00"/>
    <s v="Pune"/>
    <x v="1"/>
    <s v="Analyst"/>
    <x v="0"/>
    <x v="1"/>
    <x v="0"/>
    <s v="No"/>
    <x v="2"/>
    <n v="600105"/>
    <x v="1"/>
    <n v="4"/>
    <n v="2.75"/>
    <n v="5"/>
    <n v="0.84000000000000008"/>
    <n v="0.15"/>
    <s v="NO"/>
  </r>
  <r>
    <x v="4"/>
    <s v="Employee_5"/>
    <n v="32"/>
    <s v="26–35"/>
    <x v="0"/>
    <s v="May-2020"/>
    <d v="1993-07-16T00:00:00"/>
    <s v="Admin"/>
    <d v="2020-05-13T00:00:00"/>
    <s v="Indore"/>
    <x v="3"/>
    <s v="Admin"/>
    <x v="0"/>
    <x v="1"/>
    <x v="0"/>
    <s v="No"/>
    <x v="2"/>
    <n v="448471"/>
    <x v="3"/>
    <n v="4.2"/>
    <n v="2.5"/>
    <n v="5"/>
    <n v="0.94000000000000006"/>
    <n v="7.0000000000000007E-2"/>
    <s v="YES"/>
  </r>
  <r>
    <x v="5"/>
    <s v="Employee_6"/>
    <n v="28"/>
    <s v="26–35"/>
    <x v="1"/>
    <s v="Mar-2020"/>
    <d v="1997-03-16T00:00:00"/>
    <s v="Executive"/>
    <d v="2020-03-09T00:00:00"/>
    <s v="Trivandrum"/>
    <x v="0"/>
    <s v="Executive"/>
    <x v="0"/>
    <x v="2"/>
    <x v="0"/>
    <s v="No"/>
    <x v="3"/>
    <n v="742377"/>
    <x v="1"/>
    <n v="3.7"/>
    <n v="3.25"/>
    <n v="4"/>
    <n v="0.8"/>
    <n v="0.14000000000000001"/>
    <s v="YES"/>
  </r>
  <r>
    <x v="6"/>
    <s v="Employee_7"/>
    <n v="43"/>
    <s v="36–45"/>
    <x v="0"/>
    <s v="Dec-2020"/>
    <d v="1982-08-18T00:00:00"/>
    <s v="Admin"/>
    <d v="2020-12-21T00:00:00"/>
    <s v="Hyderabad"/>
    <x v="3"/>
    <s v="Admin"/>
    <x v="0"/>
    <x v="0"/>
    <x v="0"/>
    <s v="No"/>
    <x v="2"/>
    <n v="1314373"/>
    <x v="0"/>
    <n v="3.1"/>
    <n v="3"/>
    <n v="5"/>
    <n v="0.96"/>
    <n v="0.09"/>
    <s v="NO"/>
  </r>
  <r>
    <x v="7"/>
    <s v="Employee_8"/>
    <n v="40"/>
    <s v="36–45"/>
    <x v="1"/>
    <s v="Nov-2022"/>
    <d v="1985-03-07T00:00:00"/>
    <s v="Team Lead"/>
    <d v="2022-11-08T00:00:00"/>
    <s v="Hyderabad"/>
    <x v="4"/>
    <s v="Team Lead"/>
    <x v="0"/>
    <x v="1"/>
    <x v="0"/>
    <s v="No"/>
    <x v="4"/>
    <n v="306964"/>
    <x v="3"/>
    <n v="3"/>
    <n v="3"/>
    <n v="4"/>
    <n v="0.82"/>
    <n v="0.06"/>
    <s v="NO"/>
  </r>
  <r>
    <x v="8"/>
    <s v="Employee_9"/>
    <n v="39"/>
    <s v="36–45"/>
    <x v="0"/>
    <s v="Jul-2023"/>
    <d v="1986-11-10T00:00:00"/>
    <s v="Head of Operation"/>
    <d v="2023-07-21T00:00:00"/>
    <s v="Jaipur"/>
    <x v="1"/>
    <s v="Head of Operation"/>
    <x v="0"/>
    <x v="1"/>
    <x v="0"/>
    <s v="No"/>
    <x v="0"/>
    <n v="493011"/>
    <x v="3"/>
    <n v="4.4000000000000004"/>
    <n v="2.25"/>
    <n v="3"/>
    <n v="0.78"/>
    <n v="0.11"/>
    <s v="NO"/>
  </r>
  <r>
    <x v="9"/>
    <s v="Employee_10"/>
    <n v="31"/>
    <s v="26–35"/>
    <x v="1"/>
    <s v="Jun-2022"/>
    <d v="1995-01-26T00:00:00"/>
    <s v="Recruiter"/>
    <d v="2022-06-18T00:00:00"/>
    <s v="Trivandrum"/>
    <x v="0"/>
    <s v="Recruiter"/>
    <x v="0"/>
    <x v="2"/>
    <x v="0"/>
    <s v="No"/>
    <x v="3"/>
    <n v="1109368"/>
    <x v="2"/>
    <n v="4.4000000000000004"/>
    <n v="3.5"/>
    <n v="5"/>
    <n v="0.7"/>
    <n v="0.08"/>
    <s v="NO"/>
  </r>
  <r>
    <x v="10"/>
    <s v="Employee_11"/>
    <n v="27"/>
    <s v="26–35"/>
    <x v="0"/>
    <s v="Aug-2023"/>
    <d v="1998-11-28T00:00:00"/>
    <s v="Analyst"/>
    <d v="2023-08-20T00:00:00"/>
    <s v="Jaipur"/>
    <x v="0"/>
    <s v="Analyst"/>
    <x v="0"/>
    <x v="2"/>
    <x v="0"/>
    <s v="No"/>
    <x v="1"/>
    <n v="951502"/>
    <x v="2"/>
    <n v="4.5"/>
    <n v="4"/>
    <n v="4"/>
    <n v="0.94000000000000006"/>
    <n v="0.13"/>
    <s v="NO"/>
  </r>
  <r>
    <x v="11"/>
    <s v="Employee_12"/>
    <n v="29"/>
    <s v="26–35"/>
    <x v="1"/>
    <s v="Jun-2021"/>
    <d v="1997-01-01T00:00:00"/>
    <s v="Developer"/>
    <d v="2021-06-28T00:00:00"/>
    <s v="Hyderabad"/>
    <x v="2"/>
    <s v="Developer"/>
    <x v="0"/>
    <x v="1"/>
    <x v="0"/>
    <s v="No"/>
    <x v="5"/>
    <n v="536804"/>
    <x v="1"/>
    <n v="3.8"/>
    <n v="2.75"/>
    <n v="4"/>
    <n v="0.94000000000000006"/>
    <n v="0.05"/>
    <s v="YES"/>
  </r>
  <r>
    <x v="12"/>
    <s v="Employee_13"/>
    <n v="28"/>
    <s v="26–35"/>
    <x v="0"/>
    <s v="Aug-2022"/>
    <d v="1997-02-19T00:00:00"/>
    <s v="Executive"/>
    <d v="2022-08-06T00:00:00"/>
    <s v="Pune"/>
    <x v="4"/>
    <s v="Executive"/>
    <x v="0"/>
    <x v="1"/>
    <x v="0"/>
    <s v="No"/>
    <x v="6"/>
    <n v="446688"/>
    <x v="3"/>
    <n v="4"/>
    <n v="3.5"/>
    <n v="3"/>
    <n v="0.88000000000000012"/>
    <n v="0.12"/>
    <s v="YES"/>
  </r>
  <r>
    <x v="13"/>
    <s v="Employee_14"/>
    <n v="32"/>
    <s v="26–35"/>
    <x v="0"/>
    <s v="Jan-2023"/>
    <d v="1993-07-13T00:00:00"/>
    <s v="Team Lead"/>
    <d v="2023-01-22T00:00:00"/>
    <s v="Hyderabad"/>
    <x v="5"/>
    <s v="Team Lead"/>
    <x v="0"/>
    <x v="0"/>
    <x v="0"/>
    <s v="No"/>
    <x v="5"/>
    <n v="570320"/>
    <x v="1"/>
    <n v="4.8"/>
    <n v="2.75"/>
    <n v="4"/>
    <n v="0.6"/>
    <n v="7.0000000000000007E-2"/>
    <s v="YES"/>
  </r>
  <r>
    <x v="14"/>
    <s v="Employee_15"/>
    <n v="38"/>
    <s v="36–45"/>
    <x v="0"/>
    <s v="Oct-2022"/>
    <d v="1987-05-29T00:00:00"/>
    <s v="Manager"/>
    <d v="2022-10-09T00:00:00"/>
    <s v="Chennai"/>
    <x v="0"/>
    <s v="Manager"/>
    <x v="0"/>
    <x v="2"/>
    <x v="0"/>
    <s v="No"/>
    <x v="3"/>
    <n v="471927"/>
    <x v="3"/>
    <n v="3.3"/>
    <n v="3.25"/>
    <n v="4"/>
    <n v="1"/>
    <n v="0.1"/>
    <s v="NO"/>
  </r>
  <r>
    <x v="15"/>
    <s v="Employee_16"/>
    <n v="41"/>
    <s v="36–45"/>
    <x v="0"/>
    <s v="Mar-2020"/>
    <d v="1985-01-05T00:00:00"/>
    <s v="Developer"/>
    <d v="2020-03-05T00:00:00"/>
    <s v="Hyderabad"/>
    <x v="4"/>
    <s v="Developer"/>
    <x v="0"/>
    <x v="0"/>
    <x v="0"/>
    <s v="No"/>
    <x v="3"/>
    <n v="1229418"/>
    <x v="0"/>
    <n v="4.3"/>
    <n v="3"/>
    <n v="4"/>
    <n v="0.72"/>
    <n v="0.1"/>
    <s v="NO"/>
  </r>
  <r>
    <x v="16"/>
    <s v="Employee_17"/>
    <n v="26"/>
    <s v="26–35"/>
    <x v="1"/>
    <s v="Oct-2022"/>
    <d v="1999-12-09T00:00:00"/>
    <s v="Analyst"/>
    <d v="2022-10-24T00:00:00"/>
    <s v="Bangalore"/>
    <x v="6"/>
    <s v="Analyst"/>
    <x v="0"/>
    <x v="1"/>
    <x v="0"/>
    <s v="No"/>
    <x v="1"/>
    <n v="505969"/>
    <x v="1"/>
    <n v="3.9"/>
    <n v="2.5"/>
    <n v="4"/>
    <n v="0.72"/>
    <n v="0.12"/>
    <s v="YES"/>
  </r>
  <r>
    <x v="17"/>
    <s v="Employee_18"/>
    <n v="33"/>
    <s v="26–35"/>
    <x v="1"/>
    <s v="Jan-2021"/>
    <d v="1992-09-24T00:00:00"/>
    <s v="Recruiter"/>
    <d v="2021-01-02T00:00:00"/>
    <s v="Chennai"/>
    <x v="3"/>
    <s v="Recruiter"/>
    <x v="0"/>
    <x v="2"/>
    <x v="0"/>
    <s v="No"/>
    <x v="4"/>
    <n v="953824"/>
    <x v="2"/>
    <n v="4.9000000000000004"/>
    <n v="3.75"/>
    <n v="3"/>
    <n v="0.86"/>
    <n v="0.08"/>
    <s v="NO"/>
  </r>
  <r>
    <x v="18"/>
    <s v="Employee_19"/>
    <n v="34"/>
    <s v="26–35"/>
    <x v="0"/>
    <s v="Jan-2023"/>
    <d v="1991-08-07T00:00:00"/>
    <s v="Head of Operation"/>
    <d v="2023-01-11T00:00:00"/>
    <s v="Indore"/>
    <x v="4"/>
    <s v="Head of Operation"/>
    <x v="0"/>
    <x v="2"/>
    <x v="0"/>
    <s v="No"/>
    <x v="4"/>
    <n v="1190272"/>
    <x v="2"/>
    <n v="3"/>
    <n v="3.5"/>
    <n v="4"/>
    <n v="0.86"/>
    <n v="0.15"/>
    <s v="YES"/>
  </r>
  <r>
    <x v="19"/>
    <s v="Employee_20"/>
    <n v="40"/>
    <s v="36–45"/>
    <x v="0"/>
    <s v="Mar-2021"/>
    <d v="1985-12-30T00:00:00"/>
    <s v="Recruiter"/>
    <d v="2021-03-05T00:00:00"/>
    <s v="Indore"/>
    <x v="1"/>
    <s v="Recruiter"/>
    <x v="1"/>
    <x v="2"/>
    <x v="0"/>
    <s v="No"/>
    <x v="5"/>
    <n v="1436662"/>
    <x v="0"/>
    <n v="4.4000000000000004"/>
    <n v="3"/>
    <n v="4"/>
    <n v="0.72"/>
    <n v="7.0000000000000007E-2"/>
    <s v="NO"/>
  </r>
  <r>
    <x v="20"/>
    <s v="Employee_21"/>
    <n v="44"/>
    <s v="36–45"/>
    <x v="0"/>
    <s v="Dec-2020"/>
    <d v="1981-12-17T00:00:00"/>
    <s v="Team Lead"/>
    <d v="2020-12-04T00:00:00"/>
    <s v="Chennai"/>
    <x v="2"/>
    <s v="Team Lead"/>
    <x v="1"/>
    <x v="0"/>
    <x v="0"/>
    <s v="No"/>
    <x v="5"/>
    <n v="428795"/>
    <x v="3"/>
    <n v="3"/>
    <n v="3.75"/>
    <n v="5"/>
    <n v="0.74"/>
    <n v="0.14000000000000001"/>
    <s v="YES"/>
  </r>
  <r>
    <x v="21"/>
    <s v="Employee_22"/>
    <n v="42"/>
    <s v="36–45"/>
    <x v="0"/>
    <s v="Jul-2020"/>
    <d v="1983-04-18T00:00:00"/>
    <s v="Manager"/>
    <d v="2020-07-05T00:00:00"/>
    <s v="Pune"/>
    <x v="6"/>
    <s v="Manager"/>
    <x v="0"/>
    <x v="0"/>
    <x v="0"/>
    <s v="No"/>
    <x v="3"/>
    <n v="1069142"/>
    <x v="2"/>
    <n v="4"/>
    <n v="2.75"/>
    <n v="5"/>
    <n v="0.98000000000000009"/>
    <n v="0.09"/>
    <s v="YES"/>
  </r>
  <r>
    <x v="22"/>
    <s v="Employee_23"/>
    <n v="24"/>
    <s v="18–25"/>
    <x v="0"/>
    <s v="Oct-2022"/>
    <d v="2001-09-20T00:00:00"/>
    <s v="Head of Operation"/>
    <d v="2022-10-26T00:00:00"/>
    <s v="Pune"/>
    <x v="6"/>
    <s v="Head of Operation"/>
    <x v="0"/>
    <x v="1"/>
    <x v="0"/>
    <s v="No"/>
    <x v="1"/>
    <n v="1399272"/>
    <x v="0"/>
    <n v="4.3"/>
    <n v="3.25"/>
    <n v="4"/>
    <n v="0.72"/>
    <n v="0.06"/>
    <s v="YES"/>
  </r>
  <r>
    <x v="23"/>
    <s v="Employee_24"/>
    <n v="34"/>
    <s v="26–35"/>
    <x v="1"/>
    <s v="Jan-2021"/>
    <d v="1992-01-14T00:00:00"/>
    <s v="Head of Operation"/>
    <d v="2021-01-28T00:00:00"/>
    <s v="Indore"/>
    <x v="1"/>
    <s v="Head of Operation"/>
    <x v="0"/>
    <x v="2"/>
    <x v="0"/>
    <s v="No"/>
    <x v="3"/>
    <n v="474051"/>
    <x v="3"/>
    <n v="3.8"/>
    <n v="3.25"/>
    <n v="4"/>
    <n v="0.88000000000000012"/>
    <n v="0.11"/>
    <s v="NO"/>
  </r>
  <r>
    <x v="24"/>
    <s v="Employee_25"/>
    <n v="32"/>
    <s v="26–35"/>
    <x v="1"/>
    <s v="Apr-2023"/>
    <d v="1993-03-26T00:00:00"/>
    <s v="Admin"/>
    <d v="2023-04-20T00:00:00"/>
    <s v="Pune"/>
    <x v="4"/>
    <s v="Admin"/>
    <x v="0"/>
    <x v="2"/>
    <x v="0"/>
    <s v="No"/>
    <x v="5"/>
    <n v="950124"/>
    <x v="2"/>
    <n v="3.7"/>
    <n v="2.75"/>
    <n v="4"/>
    <n v="0.91999999999999993"/>
    <n v="0.08"/>
    <s v="NO"/>
  </r>
  <r>
    <x v="25"/>
    <s v="Employee_26"/>
    <n v="29"/>
    <s v="26–35"/>
    <x v="0"/>
    <s v="Dec-2021"/>
    <d v="1996-09-01T00:00:00"/>
    <s v="Analyst"/>
    <d v="2021-12-03T00:00:00"/>
    <s v="Pune"/>
    <x v="3"/>
    <s v="Analyst"/>
    <x v="1"/>
    <x v="0"/>
    <x v="0"/>
    <s v="No"/>
    <x v="6"/>
    <n v="1053049"/>
    <x v="2"/>
    <n v="3.7"/>
    <n v="3.5"/>
    <n v="3"/>
    <n v="1"/>
    <n v="0.13"/>
    <s v="YES"/>
  </r>
  <r>
    <x v="26"/>
    <s v="Employee_27"/>
    <n v="43"/>
    <s v="36–45"/>
    <x v="1"/>
    <s v="Jan-2023"/>
    <d v="1983-01-26T00:00:00"/>
    <s v="Executive"/>
    <d v="2023-01-09T00:00:00"/>
    <s v="Indore"/>
    <x v="6"/>
    <s v="Executive"/>
    <x v="1"/>
    <x v="1"/>
    <x v="0"/>
    <s v="No"/>
    <x v="3"/>
    <n v="1435065"/>
    <x v="0"/>
    <n v="4.5"/>
    <n v="2.5"/>
    <n v="4"/>
    <n v="0.98000000000000009"/>
    <n v="0.05"/>
    <s v="NO"/>
  </r>
  <r>
    <x v="27"/>
    <s v="Employee_28"/>
    <n v="31"/>
    <s v="26–35"/>
    <x v="1"/>
    <s v="Sep-2020"/>
    <d v="1994-07-22T00:00:00"/>
    <s v="Executive"/>
    <d v="2020-09-13T00:00:00"/>
    <s v="Hyderabad"/>
    <x v="2"/>
    <s v="Executive"/>
    <x v="1"/>
    <x v="0"/>
    <x v="0"/>
    <s v="No"/>
    <x v="0"/>
    <n v="1159741"/>
    <x v="2"/>
    <n v="3.5"/>
    <n v="4"/>
    <n v="5"/>
    <n v="0.7"/>
    <n v="0.12"/>
    <s v="NO"/>
  </r>
  <r>
    <x v="28"/>
    <s v="Employee_29"/>
    <n v="43"/>
    <s v="36–45"/>
    <x v="0"/>
    <s v="Nov-2021"/>
    <d v="1982-08-18T00:00:00"/>
    <s v="Manager"/>
    <d v="2021-11-29T00:00:00"/>
    <s v="Hyderabad"/>
    <x v="6"/>
    <s v="Manager"/>
    <x v="1"/>
    <x v="2"/>
    <x v="0"/>
    <s v="No"/>
    <x v="6"/>
    <n v="929138"/>
    <x v="2"/>
    <n v="4.3"/>
    <n v="3"/>
    <n v="3"/>
    <n v="0.86"/>
    <n v="7.0000000000000007E-2"/>
    <s v="YES"/>
  </r>
  <r>
    <x v="29"/>
    <s v="Employee_30"/>
    <n v="35"/>
    <s v="26–35"/>
    <x v="1"/>
    <s v="Dec-2020"/>
    <d v="1990-06-18T00:00:00"/>
    <s v="Developer"/>
    <d v="2020-12-19T00:00:00"/>
    <s v="Indore"/>
    <x v="2"/>
    <s v="Developer"/>
    <x v="1"/>
    <x v="2"/>
    <x v="0"/>
    <s v="No"/>
    <x v="1"/>
    <n v="1312578"/>
    <x v="0"/>
    <n v="4.2"/>
    <n v="3.25"/>
    <n v="5"/>
    <n v="0.76"/>
    <n v="0.1"/>
    <s v="NO"/>
  </r>
  <r>
    <x v="30"/>
    <s v="Employee_31"/>
    <n v="43"/>
    <s v="36–45"/>
    <x v="0"/>
    <s v="Jan-2022"/>
    <d v="1982-05-27T00:00:00"/>
    <s v="Head of Operation"/>
    <d v="2022-01-17T00:00:00"/>
    <s v="Bangalore"/>
    <x v="6"/>
    <s v="Head of Operation"/>
    <x v="1"/>
    <x v="1"/>
    <x v="0"/>
    <s v="No"/>
    <x v="5"/>
    <n v="1048803"/>
    <x v="2"/>
    <n v="4.5"/>
    <n v="2.25"/>
    <n v="3"/>
    <n v="0.91999999999999993"/>
    <n v="0.1"/>
    <s v="YES"/>
  </r>
  <r>
    <x v="31"/>
    <s v="Employee_32"/>
    <n v="41"/>
    <s v="36–45"/>
    <x v="0"/>
    <s v="May-2021"/>
    <d v="1984-05-18T00:00:00"/>
    <s v="Admin"/>
    <d v="2021-05-06T00:00:00"/>
    <s v="Bangalore"/>
    <x v="0"/>
    <s v="Admin"/>
    <x v="1"/>
    <x v="1"/>
    <x v="0"/>
    <s v="No"/>
    <x v="1"/>
    <n v="482183"/>
    <x v="3"/>
    <n v="4.7"/>
    <n v="2"/>
    <n v="4"/>
    <n v="0.86"/>
    <n v="0.12"/>
    <s v="NO"/>
  </r>
  <r>
    <x v="32"/>
    <s v="Employee_33"/>
    <n v="31"/>
    <s v="26–35"/>
    <x v="0"/>
    <s v="Jan-2020"/>
    <d v="1994-10-14T00:00:00"/>
    <s v="Supervisor"/>
    <d v="2020-01-19T00:00:00"/>
    <s v="Pune"/>
    <x v="5"/>
    <s v="Supervisor"/>
    <x v="0"/>
    <x v="2"/>
    <x v="0"/>
    <s v="No"/>
    <x v="3"/>
    <n v="845623"/>
    <x v="2"/>
    <n v="3.7"/>
    <n v="4.25"/>
    <n v="5"/>
    <n v="0.98000000000000009"/>
    <n v="0.08"/>
    <s v="YES"/>
  </r>
  <r>
    <x v="33"/>
    <s v="Employee_34"/>
    <n v="43"/>
    <s v="36–45"/>
    <x v="1"/>
    <s v="Jan-2021"/>
    <d v="1982-08-01T00:00:00"/>
    <s v="Head of Operation"/>
    <d v="2021-01-30T00:00:00"/>
    <s v="Hyderabad"/>
    <x v="1"/>
    <s v="Head of Operation"/>
    <x v="0"/>
    <x v="2"/>
    <x v="0"/>
    <s v="No"/>
    <x v="7"/>
    <n v="1051978"/>
    <x v="2"/>
    <n v="4.5"/>
    <n v="3"/>
    <n v="4"/>
    <n v="0.94000000000000006"/>
    <n v="0.15"/>
    <s v="NO"/>
  </r>
  <r>
    <x v="34"/>
    <s v="Employee_35"/>
    <n v="36"/>
    <s v="36–45"/>
    <x v="0"/>
    <s v="Jun-2023"/>
    <d v="1989-03-27T00:00:00"/>
    <s v="Manager"/>
    <d v="2023-06-25T00:00:00"/>
    <s v="Indore"/>
    <x v="3"/>
    <s v="Manager"/>
    <x v="0"/>
    <x v="2"/>
    <x v="0"/>
    <s v="No"/>
    <x v="2"/>
    <n v="405935"/>
    <x v="3"/>
    <n v="4"/>
    <n v="4"/>
    <n v="5"/>
    <n v="0.74"/>
    <n v="7.0000000000000007E-2"/>
    <s v="YES"/>
  </r>
  <r>
    <x v="35"/>
    <s v="Employee_36"/>
    <n v="43"/>
    <s v="36–45"/>
    <x v="1"/>
    <s v="Jun-2021"/>
    <d v="1983-02-05T00:00:00"/>
    <s v="Recruiter"/>
    <d v="2021-06-01T00:00:00"/>
    <s v="Bangalore"/>
    <x v="2"/>
    <s v="Recruiter"/>
    <x v="0"/>
    <x v="2"/>
    <x v="0"/>
    <s v="No"/>
    <x v="2"/>
    <n v="958981"/>
    <x v="2"/>
    <n v="4.5999999999999996"/>
    <n v="2.75"/>
    <n v="4"/>
    <n v="0.9"/>
    <n v="0.14000000000000001"/>
    <s v="YES"/>
  </r>
  <r>
    <x v="36"/>
    <s v="Employee_37"/>
    <n v="39"/>
    <s v="36–45"/>
    <x v="1"/>
    <s v="Oct-2023"/>
    <d v="1986-09-10T00:00:00"/>
    <s v="Admin"/>
    <d v="2023-10-06T00:00:00"/>
    <s v="Hyderabad"/>
    <x v="1"/>
    <s v="Admin"/>
    <x v="0"/>
    <x v="0"/>
    <x v="0"/>
    <s v="No"/>
    <x v="3"/>
    <n v="493398"/>
    <x v="3"/>
    <n v="3.7"/>
    <n v="3.25"/>
    <n v="3"/>
    <n v="0.86"/>
    <n v="0.09"/>
    <s v="NO"/>
  </r>
  <r>
    <x v="37"/>
    <s v="Employee_38"/>
    <n v="35"/>
    <s v="26–35"/>
    <x v="0"/>
    <s v="Jan-2022"/>
    <d v="1990-07-11T00:00:00"/>
    <s v="Developer"/>
    <d v="2022-01-01T00:00:00"/>
    <s v="Chennai"/>
    <x v="2"/>
    <s v="Developer"/>
    <x v="0"/>
    <x v="1"/>
    <x v="0"/>
    <s v="No"/>
    <x v="7"/>
    <n v="1439155"/>
    <x v="0"/>
    <n v="4"/>
    <n v="3"/>
    <n v="5"/>
    <n v="0.96"/>
    <n v="0.06"/>
    <s v="NO"/>
  </r>
  <r>
    <x v="38"/>
    <s v="Employee_39"/>
    <n v="35"/>
    <s v="26–35"/>
    <x v="1"/>
    <s v="Dec-2021"/>
    <d v="1991-01-20T00:00:00"/>
    <s v="Developer"/>
    <d v="2021-12-11T00:00:00"/>
    <s v="Pune"/>
    <x v="2"/>
    <s v="Developer"/>
    <x v="0"/>
    <x v="0"/>
    <x v="0"/>
    <s v="No"/>
    <x v="0"/>
    <n v="538527"/>
    <x v="1"/>
    <n v="3.9"/>
    <n v="3.25"/>
    <n v="4"/>
    <n v="0.86"/>
    <n v="0.11"/>
    <s v="NO"/>
  </r>
  <r>
    <x v="39"/>
    <s v="Employee_40"/>
    <n v="30"/>
    <s v="26–35"/>
    <x v="0"/>
    <s v="Jan-2022"/>
    <d v="1995-11-04T00:00:00"/>
    <s v="Executive"/>
    <d v="2022-01-28T00:00:00"/>
    <s v="Bangalore"/>
    <x v="0"/>
    <s v="Executive"/>
    <x v="0"/>
    <x v="2"/>
    <x v="0"/>
    <s v="No"/>
    <x v="6"/>
    <n v="924847"/>
    <x v="2"/>
    <n v="3.4"/>
    <n v="3.5"/>
    <n v="4"/>
    <n v="0.8"/>
    <n v="0.08"/>
    <s v="NO"/>
  </r>
  <r>
    <x v="40"/>
    <s v="Employee_41"/>
    <n v="36"/>
    <s v="36–45"/>
    <x v="1"/>
    <s v="Jan-2021"/>
    <d v="1989-07-13T00:00:00"/>
    <s v="Analyst"/>
    <d v="2021-01-13T00:00:00"/>
    <s v="Indore"/>
    <x v="4"/>
    <s v="Analyst"/>
    <x v="0"/>
    <x v="1"/>
    <x v="1"/>
    <s v="YES"/>
    <x v="8"/>
    <n v="1342016"/>
    <x v="0"/>
    <n v="4.0999999999999996"/>
    <e v="#VALUE!"/>
    <n v="5"/>
    <n v="0.94000000000000006"/>
    <n v="0.13"/>
    <s v="NO"/>
  </r>
  <r>
    <x v="41"/>
    <s v="Employee_42"/>
    <n v="37"/>
    <s v="36–45"/>
    <x v="0"/>
    <s v="Feb-2021"/>
    <d v="1988-07-30T00:00:00"/>
    <s v="Head of Operation"/>
    <d v="2021-02-21T00:00:00"/>
    <s v="Bangalore"/>
    <x v="3"/>
    <s v="Head of Operation"/>
    <x v="0"/>
    <x v="0"/>
    <x v="1"/>
    <s v="YES"/>
    <x v="9"/>
    <n v="1395516"/>
    <x v="0"/>
    <n v="4.0999999999999996"/>
    <e v="#VALUE!"/>
    <n v="5"/>
    <n v="0.8"/>
    <n v="0.05"/>
    <s v="YES"/>
  </r>
  <r>
    <x v="42"/>
    <s v="Employee_43"/>
    <n v="37"/>
    <s v="36–45"/>
    <x v="1"/>
    <s v="Mar-2023"/>
    <d v="1988-06-17T00:00:00"/>
    <s v="Manager"/>
    <d v="2023-03-22T00:00:00"/>
    <s v="Chennai"/>
    <x v="3"/>
    <s v="Manager"/>
    <x v="0"/>
    <x v="2"/>
    <x v="1"/>
    <s v="YES"/>
    <x v="10"/>
    <n v="1290730"/>
    <x v="0"/>
    <n v="3.3"/>
    <e v="#VALUE!"/>
    <n v="4"/>
    <n v="0.8"/>
    <n v="0.12"/>
    <s v="YES"/>
  </r>
  <r>
    <x v="43"/>
    <s v="Employee_44"/>
    <n v="39"/>
    <s v="36–45"/>
    <x v="1"/>
    <s v="Oct-2023"/>
    <d v="1986-09-10T00:00:00"/>
    <s v="Admin"/>
    <d v="2023-10-14T00:00:00"/>
    <s v="Bangalore"/>
    <x v="1"/>
    <s v="Admin"/>
    <x v="1"/>
    <x v="0"/>
    <x v="1"/>
    <s v="YES"/>
    <x v="11"/>
    <n v="975479"/>
    <x v="2"/>
    <n v="3"/>
    <e v="#VALUE!"/>
    <n v="3"/>
    <n v="0.88000000000000012"/>
    <n v="7.0000000000000007E-2"/>
    <s v="NO"/>
  </r>
  <r>
    <x v="44"/>
    <s v="Employee_45"/>
    <n v="32"/>
    <s v="26–35"/>
    <x v="0"/>
    <s v="Jun-2023"/>
    <d v="1993-10-28T00:00:00"/>
    <s v="Team Lead"/>
    <d v="2023-06-07T00:00:00"/>
    <s v="Bangalore"/>
    <x v="5"/>
    <s v="Team Lead"/>
    <x v="0"/>
    <x v="2"/>
    <x v="1"/>
    <s v="YES"/>
    <x v="9"/>
    <n v="1496475"/>
    <x v="0"/>
    <n v="3.7"/>
    <e v="#VALUE!"/>
    <n v="3"/>
    <n v="0.9"/>
    <n v="0.1"/>
    <s v="NO"/>
  </r>
  <r>
    <x v="45"/>
    <s v="Employee_46"/>
    <n v="30"/>
    <s v="26–35"/>
    <x v="1"/>
    <s v="Sep-2021"/>
    <d v="1995-03-30T00:00:00"/>
    <s v="Analyst"/>
    <d v="2021-09-19T00:00:00"/>
    <s v="Indore"/>
    <x v="4"/>
    <s v="Analyst"/>
    <x v="0"/>
    <x v="2"/>
    <x v="1"/>
    <s v="YES"/>
    <x v="8"/>
    <n v="993091"/>
    <x v="2"/>
    <n v="4.5999999999999996"/>
    <e v="#VALUE!"/>
    <n v="4"/>
    <n v="0.8"/>
    <n v="0.11"/>
    <s v="NO"/>
  </r>
  <r>
    <x v="46"/>
    <s v="Employee_47"/>
    <n v="31"/>
    <s v="26–35"/>
    <x v="1"/>
    <s v="May-2021"/>
    <d v="1994-11-10T00:00:00"/>
    <s v="Admin"/>
    <d v="2021-05-11T00:00:00"/>
    <s v="Hyderabad"/>
    <x v="2"/>
    <s v="Admin"/>
    <x v="0"/>
    <x v="2"/>
    <x v="1"/>
    <s v="YES"/>
    <x v="10"/>
    <n v="818126"/>
    <x v="2"/>
    <n v="3.9"/>
    <e v="#VALUE!"/>
    <n v="4"/>
    <n v="0.8"/>
    <n v="0.08"/>
    <s v="NO"/>
  </r>
  <r>
    <x v="47"/>
    <s v="Employee_48"/>
    <n v="43"/>
    <s v="36–45"/>
    <x v="1"/>
    <s v="Jun-2023"/>
    <d v="1982-09-06T00:00:00"/>
    <s v="Team Lead"/>
    <d v="2023-06-07T00:00:00"/>
    <s v="Chennai"/>
    <x v="2"/>
    <s v="Team Lead"/>
    <x v="1"/>
    <x v="0"/>
    <x v="1"/>
    <s v="YES"/>
    <x v="11"/>
    <n v="762005"/>
    <x v="1"/>
    <n v="4.7"/>
    <e v="#VALUE!"/>
    <n v="5"/>
    <n v="0.88000000000000012"/>
    <n v="0.13"/>
    <s v="YES"/>
  </r>
  <r>
    <x v="48"/>
    <s v="Employee_49"/>
    <n v="37"/>
    <s v="36–45"/>
    <x v="1"/>
    <s v="Mar-2021"/>
    <d v="1988-12-18T00:00:00"/>
    <s v="Admin"/>
    <d v="2021-03-22T00:00:00"/>
    <s v="Chennai"/>
    <x v="0"/>
    <s v="Admin"/>
    <x v="0"/>
    <x v="0"/>
    <x v="1"/>
    <s v="YES"/>
    <x v="11"/>
    <n v="683945"/>
    <x v="1"/>
    <n v="4.7"/>
    <e v="#VALUE!"/>
    <n v="5"/>
    <n v="0.86"/>
    <n v="0.05"/>
    <s v="YES"/>
  </r>
  <r>
    <x v="49"/>
    <s v="Employee_50"/>
    <n v="44"/>
    <s v="36–45"/>
    <x v="1"/>
    <s v="Oct-2020"/>
    <d v="1981-05-19T00:00:00"/>
    <s v="Executive"/>
    <d v="2020-10-02T00:00:00"/>
    <s v="Pune"/>
    <x v="5"/>
    <s v="Executive"/>
    <x v="1"/>
    <x v="0"/>
    <x v="1"/>
    <s v="YES"/>
    <x v="8"/>
    <n v="852411"/>
    <x v="2"/>
    <n v="3.3"/>
    <e v="#VALUE!"/>
    <n v="4"/>
    <n v="0.88000000000000012"/>
    <n v="0.12"/>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9C65BD-56B0-43B3-B905-32BCBA59775A}"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C27" firstHeaderRow="1" firstDataRow="1" firstDataCol="0"/>
  <pivotFields count="25">
    <pivotField showAll="0"/>
    <pivotField showAll="0"/>
    <pivotField showAll="0"/>
    <pivotField showAll="0"/>
    <pivotField showAll="0">
      <items count="3">
        <item x="1"/>
        <item x="0"/>
        <item t="default"/>
      </items>
    </pivotField>
    <pivotField showAll="0"/>
    <pivotField numFmtId="14" showAll="0"/>
    <pivotField showAll="0"/>
    <pivotField numFmtId="14" showAll="0"/>
    <pivotField showAll="0"/>
    <pivotField showAll="0">
      <items count="8">
        <item x="2"/>
        <item x="6"/>
        <item x="3"/>
        <item x="4"/>
        <item x="0"/>
        <item x="5"/>
        <item x="1"/>
        <item t="default"/>
      </items>
    </pivotField>
    <pivotField showAll="0"/>
    <pivotField showAll="0"/>
    <pivotField showAll="0"/>
    <pivotField showAll="0"/>
    <pivotField showAll="0"/>
    <pivotField showAll="0"/>
    <pivotField numFmtId="165" showAll="0"/>
    <pivotField showAll="0"/>
    <pivotField showAll="0"/>
    <pivotField showAll="0"/>
    <pivotField showAll="0"/>
    <pivotField numFmtId="9" showAll="0"/>
    <pivotField numFmtId="9"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770420-4253-4492-8BE1-B0FF054502AF}"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Workforce Distribution">
  <location ref="K5:L13" firstHeaderRow="1" firstDataRow="1" firstDataCol="1" rowPageCount="1" colPageCount="1"/>
  <pivotFields count="25">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items count="3">
        <item x="1"/>
        <item x="0"/>
        <item t="default"/>
      </items>
    </pivotField>
    <pivotField showAll="0"/>
    <pivotField numFmtId="14" showAll="0"/>
    <pivotField showAll="0"/>
    <pivotField numFmtId="14" showAll="0"/>
    <pivotField showAll="0"/>
    <pivotField axis="axisRow" showAll="0">
      <items count="8">
        <item x="2"/>
        <item x="6"/>
        <item x="3"/>
        <item x="4"/>
        <item x="0"/>
        <item x="5"/>
        <item x="1"/>
        <item t="default"/>
      </items>
    </pivotField>
    <pivotField showAll="0"/>
    <pivotField showAll="0"/>
    <pivotField showAll="0"/>
    <pivotField name="Employment_Status" axis="axisPage" multipleItemSelectionAllowed="1" showAll="0" maxSubtotal="1">
      <items count="3">
        <item x="0"/>
        <item h="1" x="1"/>
        <item t="max"/>
      </items>
    </pivotField>
    <pivotField showAll="0"/>
    <pivotField showAll="0"/>
    <pivotField numFmtId="165" showAll="0"/>
    <pivotField showAll="0">
      <items count="5">
        <item x="3"/>
        <item x="1"/>
        <item x="2"/>
        <item x="0"/>
        <item t="default"/>
      </items>
    </pivotField>
    <pivotField showAll="0"/>
    <pivotField showAll="0"/>
    <pivotField showAll="0"/>
    <pivotField numFmtId="9" showAll="0"/>
    <pivotField numFmtId="9" showAll="0"/>
    <pivotField showAll="0"/>
  </pivotFields>
  <rowFields count="1">
    <field x="10"/>
  </rowFields>
  <rowItems count="8">
    <i>
      <x/>
    </i>
    <i>
      <x v="1"/>
    </i>
    <i>
      <x v="2"/>
    </i>
    <i>
      <x v="3"/>
    </i>
    <i>
      <x v="4"/>
    </i>
    <i>
      <x v="5"/>
    </i>
    <i>
      <x v="6"/>
    </i>
    <i t="grand">
      <x/>
    </i>
  </rowItems>
  <colItems count="1">
    <i/>
  </colItems>
  <pageFields count="1">
    <pageField fld="14" hier="-1"/>
  </pageFields>
  <dataFields count="1">
    <dataField name="Count of Emp_ID" fld="0" subtotal="count" baseField="10" baseItem="0"/>
  </dataFields>
  <formats count="7">
    <format dxfId="84">
      <pivotArea dataOnly="0" labelOnly="1" outline="0" axis="axisValues" fieldPosition="0"/>
    </format>
    <format dxfId="83">
      <pivotArea dataOnly="0" labelOnly="1" outline="0" axis="axisValues" fieldPosition="0"/>
    </format>
    <format dxfId="82">
      <pivotArea field="18" type="button" dataOnly="0" labelOnly="1" outline="0"/>
    </format>
    <format dxfId="81">
      <pivotArea field="14" type="button" dataOnly="0" labelOnly="1" outline="0" axis="axisPage" fieldPosition="0"/>
    </format>
    <format dxfId="80">
      <pivotArea dataOnly="0" labelOnly="1" outline="0" fieldPosition="0">
        <references count="1">
          <reference field="14" count="0"/>
        </references>
      </pivotArea>
    </format>
    <format dxfId="79">
      <pivotArea outline="0" collapsedLevelsAreSubtotals="1" fieldPosition="0"/>
    </format>
    <format dxfId="78">
      <pivotArea field="10" type="button" dataOnly="0" labelOnly="1" outline="0" axis="axisRow" fieldPosition="0"/>
    </format>
  </format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13FE07-AE28-45E1-9BF8-FC987BEB526D}"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erformance Appraisal Success Rate (%)">
  <location ref="N17:O25" firstHeaderRow="1" firstDataRow="1" firstDataCol="1" rowPageCount="1" colPageCount="1"/>
  <pivotFields count="25">
    <pivotField showAll="0"/>
    <pivotField showAll="0"/>
    <pivotField showAll="0"/>
    <pivotField showAll="0"/>
    <pivotField showAll="0">
      <items count="3">
        <item x="1"/>
        <item x="0"/>
        <item t="default"/>
      </items>
    </pivotField>
    <pivotField showAll="0"/>
    <pivotField numFmtId="14" showAll="0"/>
    <pivotField showAll="0"/>
    <pivotField numFmtId="14" showAll="0"/>
    <pivotField showAll="0"/>
    <pivotField axis="axisRow" showAll="0">
      <items count="8">
        <item x="2"/>
        <item x="6"/>
        <item x="3"/>
        <item x="4"/>
        <item x="0"/>
        <item x="5"/>
        <item x="1"/>
        <item t="default"/>
      </items>
    </pivotField>
    <pivotField showAll="0"/>
    <pivotField showAll="0"/>
    <pivotField showAll="0"/>
    <pivotField axis="axisPage" showAll="0">
      <items count="3">
        <item x="0"/>
        <item x="1"/>
        <item t="default"/>
      </items>
    </pivotField>
    <pivotField showAll="0"/>
    <pivotField showAll="0"/>
    <pivotField numFmtId="165" showAll="0"/>
    <pivotField showAll="0"/>
    <pivotField showAll="0"/>
    <pivotField showAll="0"/>
    <pivotField showAll="0"/>
    <pivotField numFmtId="9" showAll="0"/>
    <pivotField dataField="1" numFmtId="9" showAll="0"/>
    <pivotField showAll="0"/>
  </pivotFields>
  <rowFields count="1">
    <field x="10"/>
  </rowFields>
  <rowItems count="8">
    <i>
      <x/>
    </i>
    <i>
      <x v="1"/>
    </i>
    <i>
      <x v="2"/>
    </i>
    <i>
      <x v="3"/>
    </i>
    <i>
      <x v="4"/>
    </i>
    <i>
      <x v="5"/>
    </i>
    <i>
      <x v="6"/>
    </i>
    <i t="grand">
      <x/>
    </i>
  </rowItems>
  <colItems count="1">
    <i/>
  </colItems>
  <pageFields count="1">
    <pageField fld="14" item="0" hier="-1"/>
  </pageFields>
  <dataFields count="1">
    <dataField name="Average of Appraisal Percentage" fld="23" subtotal="average" baseField="6" baseItem="0" numFmtId="9"/>
  </dataFields>
  <formats count="3">
    <format dxfId="87">
      <pivotArea collapsedLevelsAreSubtotals="1" fieldPosition="0">
        <references count="1">
          <reference field="10" count="0"/>
        </references>
      </pivotArea>
    </format>
    <format dxfId="86">
      <pivotArea field="10" type="button" dataOnly="0" labelOnly="1" outline="0" axis="axisRow" fieldPosition="0"/>
    </format>
    <format dxfId="85">
      <pivotArea grandRow="1" outline="0" collapsedLevelsAreSubtotals="1" fieldPosition="0"/>
    </format>
  </formats>
  <chartFormats count="16">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0" count="1" selected="0">
            <x v="0"/>
          </reference>
        </references>
      </pivotArea>
    </chartFormat>
    <chartFormat chart="4" format="3">
      <pivotArea type="data" outline="0" fieldPosition="0">
        <references count="2">
          <reference field="4294967294" count="1" selected="0">
            <x v="0"/>
          </reference>
          <reference field="10" count="1" selected="0">
            <x v="1"/>
          </reference>
        </references>
      </pivotArea>
    </chartFormat>
    <chartFormat chart="4" format="4">
      <pivotArea type="data" outline="0" fieldPosition="0">
        <references count="2">
          <reference field="4294967294" count="1" selected="0">
            <x v="0"/>
          </reference>
          <reference field="10" count="1" selected="0">
            <x v="2"/>
          </reference>
        </references>
      </pivotArea>
    </chartFormat>
    <chartFormat chart="4" format="5">
      <pivotArea type="data" outline="0" fieldPosition="0">
        <references count="2">
          <reference field="4294967294" count="1" selected="0">
            <x v="0"/>
          </reference>
          <reference field="10" count="1" selected="0">
            <x v="3"/>
          </reference>
        </references>
      </pivotArea>
    </chartFormat>
    <chartFormat chart="4" format="6">
      <pivotArea type="data" outline="0" fieldPosition="0">
        <references count="2">
          <reference field="4294967294" count="1" selected="0">
            <x v="0"/>
          </reference>
          <reference field="10" count="1" selected="0">
            <x v="4"/>
          </reference>
        </references>
      </pivotArea>
    </chartFormat>
    <chartFormat chart="4" format="7">
      <pivotArea type="data" outline="0" fieldPosition="0">
        <references count="2">
          <reference field="4294967294" count="1" selected="0">
            <x v="0"/>
          </reference>
          <reference field="10" count="1" selected="0">
            <x v="5"/>
          </reference>
        </references>
      </pivotArea>
    </chartFormat>
    <chartFormat chart="4" format="8">
      <pivotArea type="data" outline="0" fieldPosition="0">
        <references count="2">
          <reference field="4294967294" count="1" selected="0">
            <x v="0"/>
          </reference>
          <reference field="10" count="1" selected="0">
            <x v="6"/>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0" count="1" selected="0">
            <x v="0"/>
          </reference>
        </references>
      </pivotArea>
    </chartFormat>
    <chartFormat chart="6" format="11">
      <pivotArea type="data" outline="0" fieldPosition="0">
        <references count="2">
          <reference field="4294967294" count="1" selected="0">
            <x v="0"/>
          </reference>
          <reference field="10" count="1" selected="0">
            <x v="1"/>
          </reference>
        </references>
      </pivotArea>
    </chartFormat>
    <chartFormat chart="6" format="12">
      <pivotArea type="data" outline="0" fieldPosition="0">
        <references count="2">
          <reference field="4294967294" count="1" selected="0">
            <x v="0"/>
          </reference>
          <reference field="10" count="1" selected="0">
            <x v="2"/>
          </reference>
        </references>
      </pivotArea>
    </chartFormat>
    <chartFormat chart="6" format="13">
      <pivotArea type="data" outline="0" fieldPosition="0">
        <references count="2">
          <reference field="4294967294" count="1" selected="0">
            <x v="0"/>
          </reference>
          <reference field="10" count="1" selected="0">
            <x v="3"/>
          </reference>
        </references>
      </pivotArea>
    </chartFormat>
    <chartFormat chart="6" format="14">
      <pivotArea type="data" outline="0" fieldPosition="0">
        <references count="2">
          <reference field="4294967294" count="1" selected="0">
            <x v="0"/>
          </reference>
          <reference field="10" count="1" selected="0">
            <x v="4"/>
          </reference>
        </references>
      </pivotArea>
    </chartFormat>
    <chartFormat chart="6" format="15">
      <pivotArea type="data" outline="0" fieldPosition="0">
        <references count="2">
          <reference field="4294967294" count="1" selected="0">
            <x v="0"/>
          </reference>
          <reference field="10" count="1" selected="0">
            <x v="5"/>
          </reference>
        </references>
      </pivotArea>
    </chartFormat>
    <chartFormat chart="6" format="16">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044C1A-CFE0-4580-AF74-D9A56E8A9F3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ttrition Distribution">
  <location ref="E14:F21" firstHeaderRow="1" firstDataRow="1" firstDataCol="1" rowPageCount="1" colPageCount="1"/>
  <pivotFields count="25">
    <pivotField dataField="1" showAll="0"/>
    <pivotField showAll="0"/>
    <pivotField showAll="0"/>
    <pivotField showAll="0"/>
    <pivotField showAll="0">
      <items count="3">
        <item x="1"/>
        <item x="0"/>
        <item t="default"/>
      </items>
    </pivotField>
    <pivotField showAll="0"/>
    <pivotField numFmtId="14" showAll="0"/>
    <pivotField showAll="0"/>
    <pivotField numFmtId="14" showAll="0"/>
    <pivotField showAll="0"/>
    <pivotField axis="axisRow" showAll="0">
      <items count="8">
        <item x="2"/>
        <item x="6"/>
        <item x="3"/>
        <item x="4"/>
        <item x="0"/>
        <item x="5"/>
        <item x="1"/>
        <item t="default"/>
      </items>
    </pivotField>
    <pivotField showAll="0"/>
    <pivotField showAll="0"/>
    <pivotField showAll="0"/>
    <pivotField axis="axisPage" multipleItemSelectionAllowed="1" showAll="0">
      <items count="3">
        <item h="1" x="0"/>
        <item x="1"/>
        <item t="default"/>
      </items>
    </pivotField>
    <pivotField showAll="0"/>
    <pivotField showAll="0"/>
    <pivotField numFmtId="165" showAll="0"/>
    <pivotField showAll="0"/>
    <pivotField showAll="0"/>
    <pivotField showAll="0"/>
    <pivotField showAll="0"/>
    <pivotField numFmtId="9" showAll="0"/>
    <pivotField numFmtId="9" showAll="0"/>
    <pivotField showAll="0"/>
  </pivotFields>
  <rowFields count="1">
    <field x="10"/>
  </rowFields>
  <rowItems count="7">
    <i>
      <x/>
    </i>
    <i>
      <x v="2"/>
    </i>
    <i>
      <x v="3"/>
    </i>
    <i>
      <x v="4"/>
    </i>
    <i>
      <x v="5"/>
    </i>
    <i>
      <x v="6"/>
    </i>
    <i t="grand">
      <x/>
    </i>
  </rowItems>
  <colItems count="1">
    <i/>
  </colItems>
  <pageFields count="1">
    <pageField fld="14" hier="-1"/>
  </pageFields>
  <dataFields count="1">
    <dataField name="Count of Emp_ID" fld="0" subtotal="count" baseField="0" baseItem="0"/>
  </dataFields>
  <formats count="6">
    <format dxfId="93">
      <pivotArea field="10" type="button" dataOnly="0" labelOnly="1" outline="0" axis="axisRow" fieldPosition="0"/>
    </format>
    <format dxfId="92">
      <pivotArea outline="0" collapsedLevelsAreSubtotals="1" fieldPosition="0"/>
    </format>
    <format dxfId="91">
      <pivotArea dataOnly="0" labelOnly="1" outline="0" fieldPosition="0">
        <references count="1">
          <reference field="14" count="0"/>
        </references>
      </pivotArea>
    </format>
    <format dxfId="90">
      <pivotArea dataOnly="0" labelOnly="1" outline="0" axis="axisValues" fieldPosition="0"/>
    </format>
    <format dxfId="89">
      <pivotArea collapsedLevelsAreSubtotals="1" fieldPosition="0">
        <references count="1">
          <reference field="10" count="0"/>
        </references>
      </pivotArea>
    </format>
    <format dxfId="88">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8850DD-E9A9-4E34-8D8B-9FCF0D204FFA}"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Wise HC">
  <location ref="E32:E33" firstHeaderRow="1" firstDataRow="1" firstDataCol="0" rowPageCount="1" colPageCount="1"/>
  <pivotFields count="25">
    <pivotField dataField="1" showAll="0"/>
    <pivotField showAll="0"/>
    <pivotField showAll="0"/>
    <pivotField showAll="0"/>
    <pivotField showAll="0">
      <items count="3">
        <item x="1"/>
        <item x="0"/>
        <item t="default"/>
      </items>
    </pivotField>
    <pivotField showAll="0"/>
    <pivotField numFmtId="14" showAll="0"/>
    <pivotField showAll="0"/>
    <pivotField numFmtId="14" showAll="0"/>
    <pivotField showAll="0"/>
    <pivotField showAll="0">
      <items count="8">
        <item x="2"/>
        <item x="6"/>
        <item x="3"/>
        <item x="4"/>
        <item x="0"/>
        <item x="5"/>
        <item x="1"/>
        <item t="default"/>
      </items>
    </pivotField>
    <pivotField showAll="0"/>
    <pivotField showAll="0"/>
    <pivotField showAll="0"/>
    <pivotField name="Employment_Status" axis="axisPage" multipleItemSelectionAllowed="1" showAll="0">
      <items count="3">
        <item x="0"/>
        <item h="1" x="1"/>
        <item t="default"/>
      </items>
    </pivotField>
    <pivotField showAll="0"/>
    <pivotField showAll="0">
      <items count="13">
        <item x="11"/>
        <item x="2"/>
        <item x="8"/>
        <item x="7"/>
        <item x="0"/>
        <item h="1" x="3"/>
        <item x="10"/>
        <item x="9"/>
        <item x="4"/>
        <item x="5"/>
        <item x="1"/>
        <item x="6"/>
        <item t="default"/>
      </items>
    </pivotField>
    <pivotField numFmtId="165" showAll="0"/>
    <pivotField showAll="0"/>
    <pivotField showAll="0"/>
    <pivotField showAll="0"/>
    <pivotField showAll="0"/>
    <pivotField numFmtId="9" showAll="0"/>
    <pivotField numFmtId="9" showAll="0"/>
    <pivotField showAll="0"/>
  </pivotFields>
  <rowItems count="1">
    <i/>
  </rowItems>
  <colItems count="1">
    <i/>
  </colItems>
  <pageFields count="1">
    <pageField fld="14" hier="-1"/>
  </pageFields>
  <dataFields count="1">
    <dataField name="Count of Emp_ID" fld="0" subtotal="count" baseField="0" baseItem="0"/>
  </dataFields>
  <formats count="6">
    <format dxfId="99">
      <pivotArea dataOnly="0" labelOnly="1" outline="0" axis="axisValues" fieldPosition="0"/>
    </format>
    <format dxfId="98">
      <pivotArea outline="0" collapsedLevelsAreSubtotals="1" fieldPosition="0"/>
    </format>
    <format dxfId="97">
      <pivotArea dataOnly="0" labelOnly="1" outline="0" axis="axisValues" fieldPosition="0"/>
    </format>
    <format dxfId="96">
      <pivotArea field="16" type="button" dataOnly="0" labelOnly="1" outline="0"/>
    </format>
    <format dxfId="95">
      <pivotArea dataOnly="0" outline="0" axis="axisValues" fieldPosition="0"/>
    </format>
    <format dxfId="94">
      <pivotArea field="14"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9AD9FB-7323-4DC2-9FFF-20FF59FAD1D9}" name="PivotTable8"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rowHeaderCaption=" Employee Satisfaction Score(%)">
  <location ref="H23:I30" firstHeaderRow="1" firstDataRow="1" firstDataCol="1" rowPageCount="1" colPageCount="1"/>
  <pivotFields count="25">
    <pivotField showAll="0"/>
    <pivotField showAll="0"/>
    <pivotField showAll="0"/>
    <pivotField showAll="0"/>
    <pivotField showAll="0">
      <items count="3">
        <item x="1"/>
        <item x="0"/>
        <item t="default"/>
      </items>
    </pivotField>
    <pivotField showAll="0"/>
    <pivotField numFmtId="14" showAll="0"/>
    <pivotField showAll="0"/>
    <pivotField numFmtId="14" showAll="0"/>
    <pivotField showAll="0"/>
    <pivotField axis="axisRow" showAll="0">
      <items count="8">
        <item x="2"/>
        <item x="6"/>
        <item x="3"/>
        <item x="4"/>
        <item x="0"/>
        <item x="5"/>
        <item x="1"/>
        <item t="default"/>
      </items>
    </pivotField>
    <pivotField showAll="0"/>
    <pivotField showAll="0"/>
    <pivotField showAll="0"/>
    <pivotField axis="axisPage" showAll="0">
      <items count="3">
        <item x="0"/>
        <item x="1"/>
        <item t="default"/>
      </items>
    </pivotField>
    <pivotField showAll="0"/>
    <pivotField showAll="0"/>
    <pivotField numFmtId="165" showAll="0"/>
    <pivotField showAll="0"/>
    <pivotField showAll="0"/>
    <pivotField showAll="0"/>
    <pivotField dataField="1" showAll="0"/>
    <pivotField numFmtId="9" showAll="0"/>
    <pivotField numFmtId="9" showAll="0"/>
    <pivotField showAll="0"/>
  </pivotFields>
  <rowFields count="1">
    <field x="10"/>
  </rowFields>
  <rowItems count="7">
    <i>
      <x/>
    </i>
    <i>
      <x v="1"/>
    </i>
    <i>
      <x v="2"/>
    </i>
    <i>
      <x v="3"/>
    </i>
    <i>
      <x v="4"/>
    </i>
    <i>
      <x v="5"/>
    </i>
    <i>
      <x v="6"/>
    </i>
  </rowItems>
  <colItems count="1">
    <i/>
  </colItems>
  <pageFields count="1">
    <pageField fld="14" item="0" hier="-1"/>
  </pageFields>
  <dataFields count="1">
    <dataField name="Average of Job_Satisfaction" fld="21" subtotal="average" showDataAs="percent" baseField="10" baseItem="0" numFmtId="9"/>
  </dataFields>
  <formats count="9">
    <format dxfId="108">
      <pivotArea collapsedLevelsAreSubtotals="1" fieldPosition="0">
        <references count="1">
          <reference field="10" count="0"/>
        </references>
      </pivotArea>
    </format>
    <format dxfId="107">
      <pivotArea collapsedLevelsAreSubtotals="1" fieldPosition="0">
        <references count="1">
          <reference field="10" count="0"/>
        </references>
      </pivotArea>
    </format>
    <format dxfId="106">
      <pivotArea grandRow="1" outline="0" collapsedLevelsAreSubtotals="1" fieldPosition="0"/>
    </format>
    <format dxfId="105">
      <pivotArea collapsedLevelsAreSubtotals="1" fieldPosition="0">
        <references count="1">
          <reference field="10" count="0"/>
        </references>
      </pivotArea>
    </format>
    <format dxfId="104">
      <pivotArea grandRow="1" outline="0" collapsedLevelsAreSubtotals="1" fieldPosition="0"/>
    </format>
    <format dxfId="103">
      <pivotArea outline="0" fieldPosition="0">
        <references count="1">
          <reference field="4294967294" count="1">
            <x v="0"/>
          </reference>
        </references>
      </pivotArea>
    </format>
    <format dxfId="102">
      <pivotArea collapsedLevelsAreSubtotals="1" fieldPosition="0">
        <references count="1">
          <reference field="10" count="1">
            <x v="0"/>
          </reference>
        </references>
      </pivotArea>
    </format>
    <format dxfId="101">
      <pivotArea outline="0" collapsedLevelsAreSubtotals="1" fieldPosition="0"/>
    </format>
    <format dxfId="100">
      <pivotArea field="10" type="button" dataOnly="0" labelOnly="1" outline="0" axis="axisRow" fieldPosition="0"/>
    </format>
  </formats>
  <chartFormats count="4">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6F4830-BB2A-4D16-9726-26AA5CA02389}"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Workforce Attendance Rate (%)">
  <location ref="N4:O12" firstHeaderRow="1" firstDataRow="1" firstDataCol="1" rowPageCount="1" colPageCount="1"/>
  <pivotFields count="25">
    <pivotField showAll="0"/>
    <pivotField showAll="0"/>
    <pivotField showAll="0"/>
    <pivotField showAll="0"/>
    <pivotField showAll="0">
      <items count="3">
        <item x="1"/>
        <item x="0"/>
        <item t="default"/>
      </items>
    </pivotField>
    <pivotField showAll="0"/>
    <pivotField numFmtId="14" showAll="0"/>
    <pivotField showAll="0"/>
    <pivotField numFmtId="14" showAll="0"/>
    <pivotField showAll="0"/>
    <pivotField axis="axisRow" showAll="0">
      <items count="8">
        <item x="2"/>
        <item x="6"/>
        <item x="3"/>
        <item x="4"/>
        <item x="0"/>
        <item x="5"/>
        <item x="1"/>
        <item t="default"/>
      </items>
    </pivotField>
    <pivotField showAll="0"/>
    <pivotField showAll="0"/>
    <pivotField showAll="0"/>
    <pivotField axis="axisPage" showAll="0">
      <items count="3">
        <item x="0"/>
        <item x="1"/>
        <item t="default"/>
      </items>
    </pivotField>
    <pivotField showAll="0"/>
    <pivotField showAll="0"/>
    <pivotField numFmtId="165" showAll="0"/>
    <pivotField showAll="0"/>
    <pivotField showAll="0"/>
    <pivotField showAll="0"/>
    <pivotField showAll="0"/>
    <pivotField dataField="1" numFmtId="9" showAll="0"/>
    <pivotField numFmtId="9" showAll="0"/>
    <pivotField showAll="0"/>
  </pivotFields>
  <rowFields count="1">
    <field x="10"/>
  </rowFields>
  <rowItems count="8">
    <i>
      <x/>
    </i>
    <i>
      <x v="1"/>
    </i>
    <i>
      <x v="2"/>
    </i>
    <i>
      <x v="3"/>
    </i>
    <i>
      <x v="4"/>
    </i>
    <i>
      <x v="5"/>
    </i>
    <i>
      <x v="6"/>
    </i>
    <i t="grand">
      <x/>
    </i>
  </rowItems>
  <colItems count="1">
    <i/>
  </colItems>
  <pageFields count="1">
    <pageField fld="14" item="0" hier="-1"/>
  </pageFields>
  <dataFields count="1">
    <dataField name="Average of Attendance Percentage" fld="22" subtotal="average" baseField="6" baseItem="0" numFmtId="9"/>
  </dataFields>
  <formats count="1">
    <format dxfId="109">
      <pivotArea field="10" type="button" dataOnly="0" labelOnly="1" outline="0" axis="axisRow" fieldPosition="0"/>
    </format>
  </formats>
  <chartFormats count="8">
    <chartFormat chart="20" format="23" series="1">
      <pivotArea type="data" outline="0" fieldPosition="0">
        <references count="1">
          <reference field="4294967294" count="1" selected="0">
            <x v="0"/>
          </reference>
        </references>
      </pivotArea>
    </chartFormat>
    <chartFormat chart="20" format="24">
      <pivotArea type="data" outline="0" fieldPosition="0">
        <references count="2">
          <reference field="4294967294" count="1" selected="0">
            <x v="0"/>
          </reference>
          <reference field="10" count="1" selected="0">
            <x v="0"/>
          </reference>
        </references>
      </pivotArea>
    </chartFormat>
    <chartFormat chart="20" format="25">
      <pivotArea type="data" outline="0" fieldPosition="0">
        <references count="2">
          <reference field="4294967294" count="1" selected="0">
            <x v="0"/>
          </reference>
          <reference field="10" count="1" selected="0">
            <x v="1"/>
          </reference>
        </references>
      </pivotArea>
    </chartFormat>
    <chartFormat chart="20" format="26">
      <pivotArea type="data" outline="0" fieldPosition="0">
        <references count="2">
          <reference field="4294967294" count="1" selected="0">
            <x v="0"/>
          </reference>
          <reference field="10" count="1" selected="0">
            <x v="2"/>
          </reference>
        </references>
      </pivotArea>
    </chartFormat>
    <chartFormat chart="20" format="27">
      <pivotArea type="data" outline="0" fieldPosition="0">
        <references count="2">
          <reference field="4294967294" count="1" selected="0">
            <x v="0"/>
          </reference>
          <reference field="10" count="1" selected="0">
            <x v="3"/>
          </reference>
        </references>
      </pivotArea>
    </chartFormat>
    <chartFormat chart="20" format="28">
      <pivotArea type="data" outline="0" fieldPosition="0">
        <references count="2">
          <reference field="4294967294" count="1" selected="0">
            <x v="0"/>
          </reference>
          <reference field="10" count="1" selected="0">
            <x v="4"/>
          </reference>
        </references>
      </pivotArea>
    </chartFormat>
    <chartFormat chart="20" format="29">
      <pivotArea type="data" outline="0" fieldPosition="0">
        <references count="2">
          <reference field="4294967294" count="1" selected="0">
            <x v="0"/>
          </reference>
          <reference field="10" count="1" selected="0">
            <x v="5"/>
          </reference>
        </references>
      </pivotArea>
    </chartFormat>
    <chartFormat chart="20" format="30">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A37BB6-152D-479D-A95E-66BB2BD91B42}" name="PivotTable7"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7:F8" firstHeaderRow="1" firstDataRow="1" firstDataCol="1"/>
  <pivotFields count="25">
    <pivotField showAll="0"/>
    <pivotField showAll="0"/>
    <pivotField showAll="0"/>
    <pivotField showAll="0"/>
    <pivotField showAll="0">
      <items count="3">
        <item x="1"/>
        <item x="0"/>
        <item t="default"/>
      </items>
    </pivotField>
    <pivotField showAll="0"/>
    <pivotField numFmtId="14" showAll="0"/>
    <pivotField showAll="0"/>
    <pivotField numFmtId="14" showAll="0"/>
    <pivotField showAll="0"/>
    <pivotField showAll="0">
      <items count="8">
        <item x="2"/>
        <item x="6"/>
        <item x="3"/>
        <item x="4"/>
        <item x="0"/>
        <item x="5"/>
        <item x="1"/>
        <item t="default"/>
      </items>
    </pivotField>
    <pivotField showAll="0"/>
    <pivotField showAll="0"/>
    <pivotField showAll="0"/>
    <pivotField axis="axisRow" showAll="0">
      <items count="3">
        <item x="0"/>
        <item h="1" x="1"/>
        <item t="default"/>
      </items>
    </pivotField>
    <pivotField showAll="0"/>
    <pivotField showAll="0"/>
    <pivotField numFmtId="165" showAll="0"/>
    <pivotField showAll="0"/>
    <pivotField showAll="0"/>
    <pivotField dataField="1" showAll="0"/>
    <pivotField showAll="0"/>
    <pivotField numFmtId="9" showAll="0"/>
    <pivotField numFmtId="9" showAll="0"/>
    <pivotField showAll="0"/>
  </pivotFields>
  <rowFields count="1">
    <field x="14"/>
  </rowFields>
  <rowItems count="1">
    <i>
      <x/>
    </i>
  </rowItems>
  <colItems count="1">
    <i/>
  </colItems>
  <dataFields count="1">
    <dataField name="Average of Engagement Score" fld="20" subtotal="average" baseField="10" baseItem="0"/>
  </dataFields>
  <formats count="4">
    <format dxfId="113">
      <pivotArea dataOnly="0" labelOnly="1" outline="0" axis="axisValues" fieldPosition="0"/>
    </format>
    <format dxfId="112">
      <pivotArea outline="0" collapsedLevelsAreSubtotals="1" fieldPosition="0"/>
    </format>
    <format dxfId="111">
      <pivotArea dataOnly="0" labelOnly="1" outline="0" axis="axisValues" fieldPosition="0"/>
    </format>
    <format dxfId="110">
      <pivotArea collapsedLevelsAreSubtotals="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8B5DD6-46E7-45E5-831D-DC96A72D1D7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xit ">
  <location ref="H32:I34" firstHeaderRow="1" firstDataRow="1" firstDataCol="1"/>
  <pivotFields count="25">
    <pivotField dataField="1" showAll="0"/>
    <pivotField showAll="0"/>
    <pivotField showAll="0"/>
    <pivotField showAll="0"/>
    <pivotField showAll="0">
      <items count="3">
        <item x="1"/>
        <item x="0"/>
        <item t="default"/>
      </items>
    </pivotField>
    <pivotField showAll="0"/>
    <pivotField numFmtId="14" showAll="0"/>
    <pivotField showAll="0"/>
    <pivotField numFmtId="14" showAll="0"/>
    <pivotField showAll="0"/>
    <pivotField showAll="0">
      <items count="8">
        <item x="2"/>
        <item x="6"/>
        <item x="3"/>
        <item x="4"/>
        <item x="0"/>
        <item x="5"/>
        <item x="1"/>
        <item t="default"/>
      </items>
    </pivotField>
    <pivotField showAll="0"/>
    <pivotField showAll="0"/>
    <pivotField showAll="0"/>
    <pivotField name="Employment_Status" axis="axisRow" multipleItemSelectionAllowed="1" showAll="0">
      <items count="3">
        <item h="1" x="0"/>
        <item x="1"/>
        <item t="default"/>
      </items>
    </pivotField>
    <pivotField showAll="0"/>
    <pivotField showAll="0">
      <items count="13">
        <item x="11"/>
        <item x="2"/>
        <item x="8"/>
        <item x="7"/>
        <item x="0"/>
        <item h="1" x="3"/>
        <item x="10"/>
        <item x="9"/>
        <item x="4"/>
        <item x="5"/>
        <item x="1"/>
        <item x="6"/>
        <item t="default"/>
      </items>
    </pivotField>
    <pivotField numFmtId="165" showAll="0"/>
    <pivotField showAll="0"/>
    <pivotField showAll="0"/>
    <pivotField showAll="0"/>
    <pivotField showAll="0"/>
    <pivotField numFmtId="9" showAll="0"/>
    <pivotField numFmtId="9" showAll="0"/>
    <pivotField showAll="0"/>
  </pivotFields>
  <rowFields count="1">
    <field x="14"/>
  </rowFields>
  <rowItems count="2">
    <i>
      <x v="1"/>
    </i>
    <i t="grand">
      <x/>
    </i>
  </rowItems>
  <colItems count="1">
    <i/>
  </colItems>
  <dataFields count="1">
    <dataField name="Count of Emp_ID" fld="0" subtotal="count" baseField="0" baseItem="0"/>
  </dataFields>
  <formats count="6">
    <format dxfId="119">
      <pivotArea dataOnly="0" labelOnly="1" outline="0" axis="axisValues" fieldPosition="0"/>
    </format>
    <format dxfId="118">
      <pivotArea outline="0" collapsedLevelsAreSubtotals="1" fieldPosition="0"/>
    </format>
    <format dxfId="117">
      <pivotArea dataOnly="0" labelOnly="1" outline="0" axis="axisValues" fieldPosition="0"/>
    </format>
    <format dxfId="116">
      <pivotArea field="16" type="button" dataOnly="0" labelOnly="1" outline="0"/>
    </format>
    <format dxfId="115">
      <pivotArea dataOnly="0" outline="0" axis="axisValues" fieldPosition="0"/>
    </format>
    <format dxfId="114">
      <pivotArea field="14"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276B8B-4437-41AB-ACEC-FA0437C1F6F2}" name="PivotTable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2:F3" firstHeaderRow="1" firstDataRow="1" firstDataCol="1"/>
  <pivotFields count="25">
    <pivotField showAll="0"/>
    <pivotField showAll="0"/>
    <pivotField showAll="0"/>
    <pivotField showAll="0"/>
    <pivotField showAll="0">
      <items count="3">
        <item x="1"/>
        <item x="0"/>
        <item t="default"/>
      </items>
    </pivotField>
    <pivotField showAll="0"/>
    <pivotField numFmtId="14" showAll="0"/>
    <pivotField showAll="0"/>
    <pivotField numFmtId="14" showAll="0"/>
    <pivotField showAll="0"/>
    <pivotField showAll="0">
      <items count="8">
        <item x="2"/>
        <item x="6"/>
        <item x="3"/>
        <item x="4"/>
        <item x="0"/>
        <item x="5"/>
        <item x="1"/>
        <item t="default"/>
      </items>
    </pivotField>
    <pivotField showAll="0"/>
    <pivotField showAll="0"/>
    <pivotField showAll="0"/>
    <pivotField axis="axisRow" showAll="0">
      <items count="3">
        <item x="0"/>
        <item h="1" x="1"/>
        <item t="default"/>
      </items>
    </pivotField>
    <pivotField showAll="0"/>
    <pivotField showAll="0"/>
    <pivotField dataField="1" numFmtId="165" showAll="0"/>
    <pivotField showAll="0"/>
    <pivotField showAll="0"/>
    <pivotField showAll="0"/>
    <pivotField showAll="0"/>
    <pivotField numFmtId="9" showAll="0"/>
    <pivotField numFmtId="9" showAll="0"/>
    <pivotField showAll="0"/>
  </pivotFields>
  <rowFields count="1">
    <field x="14"/>
  </rowFields>
  <rowItems count="1">
    <i>
      <x/>
    </i>
  </rowItems>
  <colItems count="1">
    <i/>
  </colItems>
  <dataFields count="1">
    <dataField name="Average of Salary" fld="17" subtotal="average" baseField="10" baseItem="0" numFmtId="165"/>
  </dataFields>
  <formats count="3">
    <format dxfId="122">
      <pivotArea dataOnly="0" labelOnly="1" outline="0" axis="axisValues" fieldPosition="0"/>
    </format>
    <format dxfId="121">
      <pivotArea outline="0" collapsedLevelsAreSubtotals="1" fieldPosition="0"/>
    </format>
    <format dxfId="1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DB465D-7210-416C-B799-DA3EFD7D0BD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cruitment  Status">
  <location ref="E23:F28" firstHeaderRow="1" firstDataRow="1" firstDataCol="1"/>
  <pivotFields count="11">
    <pivotField dataField="1" showAll="0"/>
    <pivotField showAll="0"/>
    <pivotField showAll="0"/>
    <pivotField showAll="0"/>
    <pivotField numFmtId="14" showAll="0"/>
    <pivotField showAll="0"/>
    <pivotField numFmtId="14" showAll="0"/>
    <pivotField showAll="0"/>
    <pivotField showAll="0"/>
    <pivotField showAll="0"/>
    <pivotField axis="axisRow" showAll="0">
      <items count="5">
        <item x="2"/>
        <item x="0"/>
        <item x="3"/>
        <item x="1"/>
        <item t="default"/>
      </items>
    </pivotField>
  </pivotFields>
  <rowFields count="1">
    <field x="10"/>
  </rowFields>
  <rowItems count="5">
    <i>
      <x/>
    </i>
    <i>
      <x v="1"/>
    </i>
    <i>
      <x v="2"/>
    </i>
    <i>
      <x v="3"/>
    </i>
    <i t="grand">
      <x/>
    </i>
  </rowItems>
  <colItems count="1">
    <i/>
  </colItems>
  <dataFields count="1">
    <dataField name="Count of Temp_ID" fld="0" subtotal="count" baseField="0" baseItem="0"/>
  </dataFields>
  <formats count="3">
    <format dxfId="125">
      <pivotArea field="10" type="button" dataOnly="0" labelOnly="1" outline="0" axis="axisRow" fieldPosition="0"/>
    </format>
    <format dxfId="124">
      <pivotArea outline="0" collapsedLevelsAreSubtotals="1" fieldPosition="0"/>
    </format>
    <format dxfId="12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280BF3-DBF6-4599-ABD3-72DDFF4E9C3F}"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Gender HC">
  <location ref="N29:O32" firstHeaderRow="1" firstDataRow="1" firstDataCol="1" rowPageCount="1" colPageCount="1"/>
  <pivotFields count="25">
    <pivotField dataField="1" showAll="0"/>
    <pivotField showAll="0"/>
    <pivotField showAll="0"/>
    <pivotField showAll="0"/>
    <pivotField axis="axisRow" showAll="0">
      <items count="3">
        <item x="1"/>
        <item x="0"/>
        <item t="default"/>
      </items>
    </pivotField>
    <pivotField showAll="0"/>
    <pivotField numFmtId="14" showAll="0"/>
    <pivotField showAll="0"/>
    <pivotField numFmtId="14" showAll="0"/>
    <pivotField showAll="0"/>
    <pivotField showAll="0">
      <items count="8">
        <item x="2"/>
        <item x="6"/>
        <item x="3"/>
        <item x="4"/>
        <item x="0"/>
        <item x="5"/>
        <item x="1"/>
        <item t="default"/>
      </items>
    </pivotField>
    <pivotField showAll="0"/>
    <pivotField showAll="0"/>
    <pivotField showAll="0"/>
    <pivotField axis="axisPage" showAll="0">
      <items count="3">
        <item x="0"/>
        <item x="1"/>
        <item t="default"/>
      </items>
    </pivotField>
    <pivotField showAll="0"/>
    <pivotField showAll="0"/>
    <pivotField numFmtId="165" showAll="0"/>
    <pivotField showAll="0"/>
    <pivotField showAll="0"/>
    <pivotField showAll="0"/>
    <pivotField showAll="0"/>
    <pivotField numFmtId="9" showAll="0"/>
    <pivotField numFmtId="9" showAll="0"/>
    <pivotField showAll="0"/>
  </pivotFields>
  <rowFields count="1">
    <field x="4"/>
  </rowFields>
  <rowItems count="3">
    <i>
      <x/>
    </i>
    <i>
      <x v="1"/>
    </i>
    <i t="grand">
      <x/>
    </i>
  </rowItems>
  <colItems count="1">
    <i/>
  </colItems>
  <pageFields count="1">
    <pageField fld="14" item="0" hier="-1"/>
  </pageFields>
  <dataFields count="1">
    <dataField name="Count of Emp_ID" fld="0" subtotal="count" baseField="0" baseItem="0"/>
  </dataFields>
  <formats count="1">
    <format dxfId="126">
      <pivotArea field="4" type="button" dataOnly="0" labelOnly="1" outline="0" axis="axisRow" fieldPosition="0"/>
    </format>
  </format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64CC601-B2DC-4E5B-A85C-4DBF89C59B8D}"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DER DEPARTMENT">
  <location ref="Q29:R45" firstHeaderRow="1" firstDataRow="1" firstDataCol="1" rowPageCount="1" colPageCount="1"/>
  <pivotFields count="25">
    <pivotField dataField="1" showAll="0"/>
    <pivotField showAll="0"/>
    <pivotField showAll="0"/>
    <pivotField showAll="0"/>
    <pivotField axis="axisRow" showAll="0">
      <items count="3">
        <item x="1"/>
        <item x="0"/>
        <item t="default"/>
      </items>
    </pivotField>
    <pivotField showAll="0"/>
    <pivotField numFmtId="14" showAll="0"/>
    <pivotField showAll="0"/>
    <pivotField numFmtId="14" showAll="0"/>
    <pivotField showAll="0"/>
    <pivotField axis="axisRow" showAll="0">
      <items count="8">
        <item x="2"/>
        <item x="6"/>
        <item x="3"/>
        <item x="4"/>
        <item x="0"/>
        <item x="5"/>
        <item x="1"/>
        <item t="default"/>
      </items>
    </pivotField>
    <pivotField showAll="0"/>
    <pivotField showAll="0"/>
    <pivotField showAll="0"/>
    <pivotField axis="axisPage" showAll="0">
      <items count="3">
        <item x="0"/>
        <item x="1"/>
        <item t="default"/>
      </items>
    </pivotField>
    <pivotField showAll="0"/>
    <pivotField showAll="0"/>
    <pivotField numFmtId="165" showAll="0"/>
    <pivotField showAll="0"/>
    <pivotField showAll="0"/>
    <pivotField showAll="0"/>
    <pivotField showAll="0"/>
    <pivotField numFmtId="9" showAll="0"/>
    <pivotField numFmtId="9" showAll="0"/>
    <pivotField showAll="0"/>
  </pivotFields>
  <rowFields count="2">
    <field x="4"/>
    <field x="10"/>
  </rowFields>
  <rowItems count="16">
    <i>
      <x/>
    </i>
    <i r="1">
      <x/>
    </i>
    <i r="1">
      <x v="1"/>
    </i>
    <i r="1">
      <x v="2"/>
    </i>
    <i r="1">
      <x v="3"/>
    </i>
    <i r="1">
      <x v="4"/>
    </i>
    <i r="1">
      <x v="6"/>
    </i>
    <i>
      <x v="1"/>
    </i>
    <i r="1">
      <x/>
    </i>
    <i r="1">
      <x v="1"/>
    </i>
    <i r="1">
      <x v="2"/>
    </i>
    <i r="1">
      <x v="3"/>
    </i>
    <i r="1">
      <x v="4"/>
    </i>
    <i r="1">
      <x v="5"/>
    </i>
    <i r="1">
      <x v="6"/>
    </i>
    <i t="grand">
      <x/>
    </i>
  </rowItems>
  <colItems count="1">
    <i/>
  </colItems>
  <pageFields count="1">
    <pageField fld="14" item="0" hier="-1"/>
  </pageFields>
  <dataFields count="1">
    <dataField name="Count of Emp_ID" fld="0" subtotal="count" baseField="0" baseItem="0"/>
  </dataFields>
  <formats count="1">
    <format dxfId="127">
      <pivotArea field="4"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FC4F7E-E0DD-4CE9-A8A9-7E2DC2E78D24}" name="PivotTable1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rowHeaderCaption="Top Attrtion Reasons">
  <location ref="H4:I8" firstHeaderRow="1" firstDataRow="1" firstDataCol="1" rowPageCount="1" colPageCount="1"/>
  <pivotFields count="25">
    <pivotField dataField="1" showAll="0"/>
    <pivotField showAll="0"/>
    <pivotField showAll="0"/>
    <pivotField showAll="0"/>
    <pivotField showAll="0">
      <items count="3">
        <item x="1"/>
        <item x="0"/>
        <item t="default"/>
      </items>
    </pivotField>
    <pivotField showAll="0"/>
    <pivotField numFmtId="14" showAll="0"/>
    <pivotField showAll="0"/>
    <pivotField numFmtId="14" showAll="0"/>
    <pivotField showAll="0"/>
    <pivotField showAll="0">
      <items count="8">
        <item x="2"/>
        <item x="6"/>
        <item x="3"/>
        <item x="4"/>
        <item x="0"/>
        <item x="5"/>
        <item x="1"/>
        <item t="default"/>
      </items>
    </pivotField>
    <pivotField showAll="0"/>
    <pivotField showAll="0"/>
    <pivotField showAll="0"/>
    <pivotField axis="axisPage" multipleItemSelectionAllowed="1" showAll="0">
      <items count="3">
        <item h="1" x="0"/>
        <item x="1"/>
        <item t="default"/>
      </items>
    </pivotField>
    <pivotField showAll="0"/>
    <pivotField axis="axisRow" showAll="0" measureFilter="1">
      <items count="13">
        <item x="11"/>
        <item x="2"/>
        <item x="8"/>
        <item x="7"/>
        <item x="0"/>
        <item x="3"/>
        <item x="10"/>
        <item x="9"/>
        <item x="4"/>
        <item x="5"/>
        <item x="1"/>
        <item x="6"/>
        <item t="default"/>
      </items>
    </pivotField>
    <pivotField numFmtId="165" showAll="0"/>
    <pivotField showAll="0"/>
    <pivotField showAll="0"/>
    <pivotField showAll="0"/>
    <pivotField showAll="0"/>
    <pivotField numFmtId="9" showAll="0"/>
    <pivotField numFmtId="9" showAll="0"/>
    <pivotField showAll="0"/>
  </pivotFields>
  <rowFields count="1">
    <field x="16"/>
  </rowFields>
  <rowItems count="4">
    <i>
      <x/>
    </i>
    <i>
      <x v="2"/>
    </i>
    <i>
      <x v="6"/>
    </i>
    <i>
      <x v="7"/>
    </i>
  </rowItems>
  <colItems count="1">
    <i/>
  </colItems>
  <pageFields count="1">
    <pageField fld="14" hier="-1"/>
  </pageFields>
  <dataFields count="1">
    <dataField name="Count of Emp_ID" fld="0" subtotal="count" baseField="0" baseItem="0" numFmtId="1"/>
  </dataFields>
  <formats count="7">
    <format dxfId="134">
      <pivotArea dataOnly="0" labelOnly="1" outline="0" axis="axisValues" fieldPosition="0"/>
    </format>
    <format dxfId="133">
      <pivotArea dataOnly="0" labelOnly="1" outline="0" axis="axisValues" fieldPosition="0"/>
    </format>
    <format dxfId="132">
      <pivotArea field="16" type="button" dataOnly="0" labelOnly="1" outline="0" axis="axisRow" fieldPosition="0"/>
    </format>
    <format dxfId="131">
      <pivotArea dataOnly="0" outline="0" axis="axisValues" fieldPosition="0"/>
    </format>
    <format dxfId="130">
      <pivotArea dataOnly="0" labelOnly="1" outline="0" fieldPosition="0">
        <references count="1">
          <reference field="14" count="0"/>
        </references>
      </pivotArea>
    </format>
    <format dxfId="129">
      <pivotArea outline="0" collapsedLevelsAreSubtotals="1" fieldPosition="0"/>
    </format>
    <format dxfId="128">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B28658D-CCE4-4103-97EB-04681F18C34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Compensation Analysis">
  <location ref="H14:I19" firstHeaderRow="1" firstDataRow="1" firstDataCol="1" rowPageCount="1" colPageCount="1"/>
  <pivotFields count="25">
    <pivotField showAll="0"/>
    <pivotField showAll="0"/>
    <pivotField showAll="0"/>
    <pivotField showAll="0"/>
    <pivotField showAll="0">
      <items count="3">
        <item x="1"/>
        <item x="0"/>
        <item t="default"/>
      </items>
    </pivotField>
    <pivotField showAll="0"/>
    <pivotField numFmtId="14" showAll="0"/>
    <pivotField showAll="0"/>
    <pivotField numFmtId="14" showAll="0"/>
    <pivotField showAll="0"/>
    <pivotField showAll="0">
      <items count="8">
        <item x="2"/>
        <item x="6"/>
        <item x="3"/>
        <item x="4"/>
        <item x="0"/>
        <item x="5"/>
        <item x="1"/>
        <item t="default"/>
      </items>
    </pivotField>
    <pivotField showAll="0"/>
    <pivotField showAll="0"/>
    <pivotField showAll="0"/>
    <pivotField axis="axisPage" multipleItemSelectionAllowed="1" showAll="0">
      <items count="3">
        <item x="0"/>
        <item h="1" x="1"/>
        <item t="default"/>
      </items>
    </pivotField>
    <pivotField showAll="0"/>
    <pivotField showAll="0"/>
    <pivotField dataField="1" numFmtId="165" showAll="0"/>
    <pivotField axis="axisRow" showAll="0">
      <items count="5">
        <item x="3"/>
        <item x="1"/>
        <item x="2"/>
        <item x="0"/>
        <item t="default"/>
      </items>
    </pivotField>
    <pivotField showAll="0"/>
    <pivotField showAll="0"/>
    <pivotField showAll="0"/>
    <pivotField numFmtId="9" showAll="0"/>
    <pivotField numFmtId="9" showAll="0"/>
    <pivotField showAll="0"/>
  </pivotFields>
  <rowFields count="1">
    <field x="18"/>
  </rowFields>
  <rowItems count="5">
    <i>
      <x/>
    </i>
    <i>
      <x v="1"/>
    </i>
    <i>
      <x v="2"/>
    </i>
    <i>
      <x v="3"/>
    </i>
    <i t="grand">
      <x/>
    </i>
  </rowItems>
  <colItems count="1">
    <i/>
  </colItems>
  <pageFields count="1">
    <pageField fld="14" hier="-1"/>
  </pageFields>
  <dataFields count="1">
    <dataField name="Average of Salary" fld="17" subtotal="average" baseField="14" baseItem="0" numFmtId="165"/>
  </dataFields>
  <formats count="4">
    <format dxfId="138">
      <pivotArea dataOnly="0" labelOnly="1" outline="0" axis="axisValues" fieldPosition="0"/>
    </format>
    <format dxfId="137">
      <pivotArea outline="0" collapsedLevelsAreSubtotals="1" fieldPosition="0"/>
    </format>
    <format dxfId="136">
      <pivotArea dataOnly="0" labelOnly="1" outline="0" axis="axisValues" fieldPosition="0"/>
    </format>
    <format dxfId="135">
      <pivotArea field="18" type="button" dataOnly="0" labelOnly="1" outline="0" axis="axisRow" fieldPosition="0"/>
    </format>
  </formats>
  <chartFormats count="5">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18" count="1" selected="0">
            <x v="0"/>
          </reference>
        </references>
      </pivotArea>
    </chartFormat>
    <chartFormat chart="31" format="8">
      <pivotArea type="data" outline="0" fieldPosition="0">
        <references count="2">
          <reference field="4294967294" count="1" selected="0">
            <x v="0"/>
          </reference>
          <reference field="18" count="1" selected="0">
            <x v="1"/>
          </reference>
        </references>
      </pivotArea>
    </chartFormat>
    <chartFormat chart="31" format="9">
      <pivotArea type="data" outline="0" fieldPosition="0">
        <references count="2">
          <reference field="4294967294" count="1" selected="0">
            <x v="0"/>
          </reference>
          <reference field="18" count="1" selected="0">
            <x v="2"/>
          </reference>
        </references>
      </pivotArea>
    </chartFormat>
    <chartFormat chart="31" format="10">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8F43EF0-F918-4391-B7C9-C65A12DF9AAE}"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Employment Type Distribution">
  <location ref="K18:L27" firstHeaderRow="1" firstDataRow="1" firstDataCol="1" rowPageCount="1" colPageCount="1"/>
  <pivotFields count="25">
    <pivotField dataField="1" showAll="0"/>
    <pivotField showAll="0"/>
    <pivotField showAll="0"/>
    <pivotField showAll="0"/>
    <pivotField showAll="0">
      <items count="3">
        <item x="1"/>
        <item x="0"/>
        <item t="default"/>
      </items>
    </pivotField>
    <pivotField showAll="0"/>
    <pivotField numFmtId="14" showAll="0"/>
    <pivotField showAll="0"/>
    <pivotField numFmtId="14" showAll="0"/>
    <pivotField showAll="0"/>
    <pivotField showAll="0">
      <items count="8">
        <item x="2"/>
        <item x="6"/>
        <item x="3"/>
        <item x="4"/>
        <item x="0"/>
        <item x="5"/>
        <item x="1"/>
        <item t="default"/>
      </items>
    </pivotField>
    <pivotField showAll="0"/>
    <pivotField axis="axisRow" showAll="0">
      <items count="3">
        <item x="0"/>
        <item x="1"/>
        <item t="default"/>
      </items>
    </pivotField>
    <pivotField axis="axisRow" showAll="0">
      <items count="4">
        <item x="0"/>
        <item x="1"/>
        <item x="2"/>
        <item t="default"/>
      </items>
    </pivotField>
    <pivotField axis="axisPage" multipleItemSelectionAllowed="1" showAll="0">
      <items count="3">
        <item x="0"/>
        <item h="1" x="1"/>
        <item t="default"/>
      </items>
    </pivotField>
    <pivotField showAll="0"/>
    <pivotField showAll="0">
      <items count="13">
        <item x="11"/>
        <item x="2"/>
        <item x="8"/>
        <item x="7"/>
        <item x="0"/>
        <item h="1" x="3"/>
        <item x="10"/>
        <item x="9"/>
        <item x="4"/>
        <item x="5"/>
        <item x="1"/>
        <item x="6"/>
        <item t="default"/>
      </items>
    </pivotField>
    <pivotField numFmtId="165" showAll="0"/>
    <pivotField showAll="0"/>
    <pivotField showAll="0"/>
    <pivotField showAll="0"/>
    <pivotField showAll="0"/>
    <pivotField numFmtId="9" showAll="0"/>
    <pivotField numFmtId="9" showAll="0"/>
    <pivotField showAll="0"/>
  </pivotFields>
  <rowFields count="2">
    <field x="12"/>
    <field x="13"/>
  </rowFields>
  <rowItems count="9">
    <i>
      <x/>
    </i>
    <i r="1">
      <x/>
    </i>
    <i r="1">
      <x v="1"/>
    </i>
    <i r="1">
      <x v="2"/>
    </i>
    <i>
      <x v="1"/>
    </i>
    <i r="1">
      <x/>
    </i>
    <i r="1">
      <x v="1"/>
    </i>
    <i r="1">
      <x v="2"/>
    </i>
    <i t="grand">
      <x/>
    </i>
  </rowItems>
  <colItems count="1">
    <i/>
  </colItems>
  <pageFields count="1">
    <pageField fld="14" hier="-1"/>
  </pageFields>
  <dataFields count="1">
    <dataField name="Count of Emp_ID" fld="0" subtotal="count" baseField="0" baseItem="0"/>
  </dataFields>
  <formats count="7">
    <format dxfId="145">
      <pivotArea dataOnly="0" labelOnly="1" outline="0" axis="axisValues" fieldPosition="0"/>
    </format>
    <format dxfId="144">
      <pivotArea outline="0" collapsedLevelsAreSubtotals="1" fieldPosition="0"/>
    </format>
    <format dxfId="143">
      <pivotArea dataOnly="0" labelOnly="1" outline="0" axis="axisValues" fieldPosition="0"/>
    </format>
    <format dxfId="142">
      <pivotArea field="16" type="button" dataOnly="0" labelOnly="1" outline="0"/>
    </format>
    <format dxfId="141">
      <pivotArea dataOnly="0" outline="0" axis="axisValues" fieldPosition="0"/>
    </format>
    <format dxfId="140">
      <pivotArea dataOnly="0" labelOnly="1" outline="0" fieldPosition="0">
        <references count="1">
          <reference field="14" count="0"/>
        </references>
      </pivotArea>
    </format>
    <format dxfId="139">
      <pivotArea field="12" type="button" dataOnly="0" labelOnly="1" outline="0" axis="axisRow" fieldPosition="0"/>
    </format>
  </formats>
  <chartFormats count="7">
    <chartFormat chart="21" format="9" series="1">
      <pivotArea type="data" outline="0" fieldPosition="0">
        <references count="1">
          <reference field="4294967294" count="1" selected="0">
            <x v="0"/>
          </reference>
        </references>
      </pivotArea>
    </chartFormat>
    <chartFormat chart="21" format="10">
      <pivotArea type="data" outline="0" fieldPosition="0">
        <references count="3">
          <reference field="4294967294" count="1" selected="0">
            <x v="0"/>
          </reference>
          <reference field="12" count="1" selected="0">
            <x v="0"/>
          </reference>
          <reference field="13" count="1" selected="0">
            <x v="0"/>
          </reference>
        </references>
      </pivotArea>
    </chartFormat>
    <chartFormat chart="21" format="11">
      <pivotArea type="data" outline="0" fieldPosition="0">
        <references count="3">
          <reference field="4294967294" count="1" selected="0">
            <x v="0"/>
          </reference>
          <reference field="12" count="1" selected="0">
            <x v="0"/>
          </reference>
          <reference field="13" count="1" selected="0">
            <x v="1"/>
          </reference>
        </references>
      </pivotArea>
    </chartFormat>
    <chartFormat chart="21" format="12">
      <pivotArea type="data" outline="0" fieldPosition="0">
        <references count="3">
          <reference field="4294967294" count="1" selected="0">
            <x v="0"/>
          </reference>
          <reference field="12" count="1" selected="0">
            <x v="0"/>
          </reference>
          <reference field="13" count="1" selected="0">
            <x v="2"/>
          </reference>
        </references>
      </pivotArea>
    </chartFormat>
    <chartFormat chart="21" format="13">
      <pivotArea type="data" outline="0" fieldPosition="0">
        <references count="3">
          <reference field="4294967294" count="1" selected="0">
            <x v="0"/>
          </reference>
          <reference field="12" count="1" selected="0">
            <x v="1"/>
          </reference>
          <reference field="13" count="1" selected="0">
            <x v="0"/>
          </reference>
        </references>
      </pivotArea>
    </chartFormat>
    <chartFormat chart="21" format="14">
      <pivotArea type="data" outline="0" fieldPosition="0">
        <references count="3">
          <reference field="4294967294" count="1" selected="0">
            <x v="0"/>
          </reference>
          <reference field="12" count="1" selected="0">
            <x v="1"/>
          </reference>
          <reference field="13" count="1" selected="0">
            <x v="1"/>
          </reference>
        </references>
      </pivotArea>
    </chartFormat>
    <chartFormat chart="21" format="15">
      <pivotArea type="data" outline="0" fieldPosition="0">
        <references count="3">
          <reference field="4294967294" count="1" selected="0">
            <x v="0"/>
          </reference>
          <reference field="12"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5064AD6-03A0-4928-8520-0510331EF9D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N44" firstHeaderRow="1" firstDataRow="2" firstDataCol="1"/>
  <pivotFields count="5">
    <pivotField showAll="0"/>
    <pivotField axis="axisRow"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axis="axisCol" showAll="0">
      <items count="7">
        <item x="0"/>
        <item x="1"/>
        <item x="2"/>
        <item x="3"/>
        <item x="4"/>
        <item x="5"/>
        <item t="default"/>
      </items>
    </pivotField>
    <pivotField showAll="0"/>
    <pivotField dataField="1" showAl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2"/>
  </colFields>
  <colItems count="7">
    <i>
      <x/>
    </i>
    <i>
      <x v="1"/>
    </i>
    <i>
      <x v="2"/>
    </i>
    <i>
      <x v="3"/>
    </i>
    <i>
      <x v="4"/>
    </i>
    <i>
      <x v="5"/>
    </i>
    <i t="grand">
      <x/>
    </i>
  </colItems>
  <dataFields count="1">
    <dataField name="Sum of Absent Flag"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264509D-F841-4342-89DB-F2FB3191C23A}" autoFormatId="16" applyNumberFormats="0" applyBorderFormats="0" applyFontFormats="0" applyPatternFormats="0" applyAlignmentFormats="0" applyWidthHeightFormats="0">
  <queryTableRefresh nextId="47" unboundColumnsRight="10">
    <queryTableFields count="25">
      <queryTableField id="1" name="Emp_ID" tableColumnId="1"/>
      <queryTableField id="35" name="Name" tableColumnId="4"/>
      <queryTableField id="12" dataBound="0" tableColumnId="8"/>
      <queryTableField id="25" dataBound="0" tableColumnId="24"/>
      <queryTableField id="3" name="Gender" tableColumnId="3"/>
      <queryTableField id="26" dataBound="0" tableColumnId="25"/>
      <queryTableField id="36" name="DOB" tableColumnId="13"/>
      <queryTableField id="23" dataBound="0" tableColumnId="22"/>
      <queryTableField id="5" name="DOJ" tableColumnId="5"/>
      <queryTableField id="37" name="Location" tableColumnId="20"/>
      <queryTableField id="7" name="Department" tableColumnId="7"/>
      <queryTableField id="38" name="Designation" tableColumnId="23"/>
      <queryTableField id="9" name="Employee_Type" tableColumnId="9"/>
      <queryTableField id="10" name="Work_Location_Type" tableColumnId="10"/>
      <queryTableField id="11" name="Employment_Status" tableColumnId="11"/>
      <queryTableField id="15" dataBound="0" tableColumnId="14"/>
      <queryTableField id="13" dataBound="0" tableColumnId="12"/>
      <queryTableField id="16" dataBound="0" tableColumnId="15"/>
      <queryTableField id="17" dataBound="0" tableColumnId="16"/>
      <queryTableField id="18" dataBound="0" tableColumnId="17"/>
      <queryTableField id="20" dataBound="0" tableColumnId="19"/>
      <queryTableField id="19" dataBound="0" tableColumnId="18"/>
      <queryTableField id="28" dataBound="0" tableColumnId="6"/>
      <queryTableField id="34" dataBound="0" tableColumnId="2"/>
      <queryTableField id="22" dataBound="0" tableColumnId="21"/>
    </queryTableFields>
    <queryTableDeletedFields count="4">
      <deletedField name="Name"/>
      <deletedField name="Designation"/>
      <deletedField name="Location"/>
      <deletedField name="DOB"/>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8D59A50-A82A-48BB-9136-81CC250BAA7A}" autoFormatId="16" applyNumberFormats="0" applyBorderFormats="0" applyFontFormats="0" applyPatternFormats="0" applyAlignmentFormats="0" applyWidthHeightFormats="0">
  <queryTableRefresh nextId="12">
    <queryTableFields count="11">
      <queryTableField id="1" name="Emp_ID" tableColumnId="1"/>
      <queryTableField id="2" name="Name" tableColumnId="2"/>
      <queryTableField id="3" name="Gender" tableColumnId="3"/>
      <queryTableField id="4" name="DOB" tableColumnId="4"/>
      <queryTableField id="5" name="DOJ" tableColumnId="5"/>
      <queryTableField id="6" name="Location" tableColumnId="6"/>
      <queryTableField id="7" name="Department" tableColumnId="7"/>
      <queryTableField id="8" name="Designation" tableColumnId="8"/>
      <queryTableField id="9" name="Employee_Type" tableColumnId="9"/>
      <queryTableField id="10" name="Work_Location_Type" tableColumnId="10"/>
      <queryTableField id="11" name="Employment_Status"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7781F8F4-FFB7-4B56-A93A-69570AEE0F76}" autoFormatId="16" applyNumberFormats="0" applyBorderFormats="0" applyFontFormats="0" applyPatternFormats="0" applyAlignmentFormats="0" applyWidthHeightFormats="0">
  <queryTableRefresh nextId="18">
    <queryTableFields count="13">
      <queryTableField id="1" name="Emp_ID" tableColumnId="1"/>
      <queryTableField id="11" dataBound="0" tableColumnId="11"/>
      <queryTableField id="2" name="Employee Status" tableColumnId="2"/>
      <queryTableField id="3" name="Record Type" tableColumnId="3"/>
      <queryTableField id="4" name="Attrition_Complaints" tableColumnId="4"/>
      <queryTableField id="13" dataBound="0" tableColumnId="13"/>
      <queryTableField id="12" dataBound="0" tableColumnId="12"/>
      <queryTableField id="14" name="Resignation_Date" tableColumnId="5"/>
      <queryTableField id="15" name="LastWorking_Date" tableColumnId="6"/>
      <queryTableField id="7" name="Exit_Type" tableColumnId="7"/>
      <queryTableField id="8" name="Exit_Reason" tableColumnId="8"/>
      <queryTableField id="9" name="Notice_Period" tableColumnId="9"/>
      <queryTableField id="10" name="Rehire_Eligibility" tableColumnId="10"/>
    </queryTableFields>
    <queryTableDeletedFields count="2">
      <deletedField name="LastWorking_Date"/>
      <deletedField name="Resignation_Date"/>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B0E64BC8-CE17-4E38-8784-C18913D3DEF4}" autoFormatId="16" applyNumberFormats="0" applyBorderFormats="0" applyFontFormats="0" applyPatternFormats="0" applyAlignmentFormats="0" applyWidthHeightFormats="0">
  <queryTableRefresh nextId="5">
    <queryTableFields count="4">
      <queryTableField id="1" name="Emp_ID" tableColumnId="1"/>
      <queryTableField id="2" name="Joining_CTC" tableColumnId="2"/>
      <queryTableField id="3" name="Appraisal_Month" tableColumnId="3"/>
      <queryTableField id="4" name="Appraisal_Percentage"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A564A0C8-E441-4E96-82F9-3D98B8590EE0}" autoFormatId="16" applyNumberFormats="0" applyBorderFormats="0" applyFontFormats="0" applyPatternFormats="0" applyAlignmentFormats="0" applyWidthHeightFormats="0">
  <queryTableRefresh nextId="6" unboundColumnsRight="1">
    <queryTableFields count="5">
      <queryTableField id="1" name="AttendanceID" tableColumnId="1"/>
      <queryTableField id="2" name="Emp_ID" tableColumnId="2"/>
      <queryTableField id="3" name="Attendance_Date" tableColumnId="3"/>
      <queryTableField id="4" name="Attendance_Status" tableColumnId="4"/>
      <queryTableField id="5" dataBound="0"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7" xr16:uid="{A76F7524-45B9-4AE2-8A17-3FE913AE42BB}" autoFormatId="16" applyNumberFormats="0" applyBorderFormats="0" applyFontFormats="0" applyPatternFormats="0" applyAlignmentFormats="0" applyWidthHeightFormats="0">
  <queryTableRefresh nextId="11" unboundColumnsRight="2">
    <queryTableFields count="10">
      <queryTableField id="1" name="Emp_ID" tableColumnId="1"/>
      <queryTableField id="2" name="Survey_Date" tableColumnId="2"/>
      <queryTableField id="3" name="Job_Satisfaction" tableColumnId="3"/>
      <queryTableField id="4" name="Work_Life_Balance" tableColumnId="4"/>
      <queryTableField id="5" name="Growth_Opportunities" tableColumnId="5"/>
      <queryTableField id="9" dataBound="0" tableColumnId="9"/>
      <queryTableField id="10" dataBound="0" tableColumnId="10"/>
      <queryTableField id="6" name="Team_Collaboration" tableColumnId="6"/>
      <queryTableField id="7" dataBound="0" tableColumnId="7"/>
      <queryTableField id="8" dataBound="0"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8" xr16:uid="{CCADE37B-45FA-4965-958E-17AB98102817}" autoFormatId="16" applyNumberFormats="0" applyBorderFormats="0" applyFontFormats="0" applyPatternFormats="0" applyAlignmentFormats="0" applyWidthHeightFormats="0">
  <queryTableRefresh nextId="6">
    <queryTableFields count="5">
      <queryTableField id="1" name="Emp_ID" tableColumnId="1"/>
      <queryTableField id="2" name="Start_Date" tableColumnId="2"/>
      <queryTableField id="3" name="End_Date" tableColumnId="3"/>
      <queryTableField id="4" name="Leave_Type" tableColumnId="4"/>
      <queryTableField id="5" name="Approval_Status"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9" xr16:uid="{C7396BD2-335B-4859-9A56-242078058893}" autoFormatId="16" applyNumberFormats="0" applyBorderFormats="0" applyFontFormats="0" applyPatternFormats="0" applyAlignmentFormats="0" applyWidthHeightFormats="0">
  <queryTableRefresh nextId="6">
    <queryTableFields count="5">
      <queryTableField id="1" name="Emp_ID" tableColumnId="1"/>
      <queryTableField id="2" name="Department" tableColumnId="2"/>
      <queryTableField id="3" name="Designation" tableColumnId="3"/>
      <queryTableField id="4" name="CTC" tableColumnId="4"/>
      <queryTableField id="5" name="DOE" tableColumnId="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0" xr16:uid="{1EFEC41D-BBEB-48AF-8841-87D0E1197DE0}" autoFormatId="16" applyNumberFormats="0" applyBorderFormats="0" applyFontFormats="0" applyPatternFormats="0" applyAlignmentFormats="0" applyWidthHeightFormats="0">
  <queryTableRefresh nextId="13">
    <queryTableFields count="12">
      <queryTableField id="1" name="Emp_ID" tableColumnId="1"/>
      <queryTableField id="2" name="Payroll_month" tableColumnId="2"/>
      <queryTableField id="3" name="Payroll_Year" tableColumnId="3"/>
      <queryTableField id="4" name="Basic_salary" tableColumnId="4"/>
      <queryTableField id="5" name="HRA" tableColumnId="5"/>
      <queryTableField id="6" name="DA" tableColumnId="6"/>
      <queryTableField id="7" name="BONUS" tableColumnId="7"/>
      <queryTableField id="8" name="Gross_salary" tableColumnId="8"/>
      <queryTableField id="9" name="Total_deductions" tableColumnId="9"/>
      <queryTableField id="10" name="Net_salary" tableColumnId="10"/>
      <queryTableField id="11" name="Payment_status" tableColumnId="11"/>
      <queryTableField id="12" name="Payment_date" tableColumnId="1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2" xr16:uid="{0E33A70A-8EBF-443D-9E85-B6A17E8AE519}" autoFormatId="16" applyNumberFormats="0" applyBorderFormats="0" applyFontFormats="0" applyPatternFormats="0" applyAlignmentFormats="0" applyWidthHeightFormats="0">
  <queryTableRefresh nextId="12" unboundColumnsRight="1">
    <queryTableFields count="11">
      <queryTableField id="1" name="Temp_ID" tableColumnId="1"/>
      <queryTableField id="2" name="Applied_Position" tableColumnId="2"/>
      <queryTableField id="3" name="Applied_Department" tableColumnId="3"/>
      <queryTableField id="4" name="Experience" tableColumnId="4"/>
      <queryTableField id="5" name="Application_Date" tableColumnId="5"/>
      <queryTableField id="9" dataBound="0" tableColumnId="9"/>
      <queryTableField id="6" name="Interview_Date" tableColumnId="6"/>
      <queryTableField id="10" dataBound="0" tableColumnId="10"/>
      <queryTableField id="7" name="Sourcing_Channel" tableColumnId="7"/>
      <queryTableField id="8" name="Interview_Status" tableColumnId="8"/>
      <queryTableField id="11" dataBound="0" tableColumnId="11"/>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3" xr16:uid="{30F91C73-1852-41D0-8C05-A48EA7D66808}" autoFormatId="16" applyNumberFormats="0" applyBorderFormats="0" applyFontFormats="0" applyPatternFormats="0" applyAlignmentFormats="0" applyWidthHeightFormats="0">
  <queryTableRefresh nextId="14">
    <queryTableFields count="9">
      <queryTableField id="10" name="Emp_ID" tableColumnId="1"/>
      <queryTableField id="8" dataBound="0" tableColumnId="8"/>
      <queryTableField id="2" name="Review_ID" tableColumnId="2"/>
      <queryTableField id="9" dataBound="0" tableColumnId="9"/>
      <queryTableField id="3" name="Team_Lead_Supervisor" tableColumnId="3"/>
      <queryTableField id="4" name="Performance_Rating" tableColumnId="4"/>
      <queryTableField id="5" name="Attendance_Rating" tableColumnId="5"/>
      <queryTableField id="6" name="Review_Duration" tableColumnId="6"/>
      <queryTableField id="7" name="Review_Date" tableColumnId="7"/>
    </queryTableFields>
    <queryTableDeletedFields count="1">
      <deletedField name="Emp_ID"/>
    </queryTableDeleted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14" xr16:uid="{F0F809D9-E968-4028-92BF-9F9FD4FA4CC1}" autoFormatId="16" applyNumberFormats="0" applyBorderFormats="0" applyFontFormats="0" applyPatternFormats="0" applyAlignmentFormats="0" applyWidthHeightFormats="0">
  <queryTableRefresh nextId="7">
    <queryTableFields count="6">
      <queryTableField id="1" name="Attendance_Id" tableColumnId="1"/>
      <queryTableField id="2" name="Emp_ID" tableColumnId="2"/>
      <queryTableField id="3" name="Attendance_Date" tableColumnId="3"/>
      <queryTableField id="4" name="IN_Time" tableColumnId="4"/>
      <queryTableField id="5" name="OUT_Time" tableColumnId="5"/>
      <queryTableField id="6" name="Total_Hours"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AC48A5D-7B10-4987-B3B1-B1121696EF72}" sourceName="Gender">
  <pivotTables>
    <pivotTable tabId="23" name="PivotTable12"/>
    <pivotTable tabId="23" name="PivotTable1"/>
    <pivotTable tabId="23" name="PivotTable10"/>
    <pivotTable tabId="23" name="PivotTable11"/>
    <pivotTable tabId="23" name="PivotTable13"/>
    <pivotTable tabId="23" name="PivotTable14"/>
    <pivotTable tabId="23" name="PivotTable18"/>
    <pivotTable tabId="23" name="PivotTable2"/>
    <pivotTable tabId="23" name="PivotTable3"/>
    <pivotTable tabId="23" name="PivotTable5"/>
    <pivotTable tabId="23" name="PivotTable7"/>
    <pivotTable tabId="23" name="PivotTable8"/>
    <pivotTable tabId="23" name="PivotTable9"/>
  </pivotTables>
  <data>
    <tabular pivotCacheId="10632813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60B3E7D-F0C5-4719-BC30-79B6581473A7}" sourceName="Department">
  <pivotTables>
    <pivotTable tabId="23" name="PivotTable12"/>
    <pivotTable tabId="23" name="PivotTable1"/>
    <pivotTable tabId="23" name="PivotTable10"/>
    <pivotTable tabId="23" name="PivotTable11"/>
    <pivotTable tabId="23" name="PivotTable13"/>
    <pivotTable tabId="23" name="PivotTable14"/>
    <pivotTable tabId="23" name="PivotTable18"/>
    <pivotTable tabId="23" name="PivotTable2"/>
    <pivotTable tabId="23" name="PivotTable3"/>
    <pivotTable tabId="23" name="PivotTable5"/>
    <pivotTable tabId="23" name="PivotTable7"/>
    <pivotTable tabId="23" name="PivotTable8"/>
    <pivotTable tabId="23" name="PivotTable9"/>
    <pivotTable tabId="23" name="PivotTable15"/>
    <pivotTable tabId="23" name="PivotTable16"/>
  </pivotTables>
  <data>
    <tabular pivotCacheId="106328130">
      <items count="7">
        <i x="2" s="1"/>
        <i x="6" s="1"/>
        <i x="3" s="1"/>
        <i x="4" s="1"/>
        <i x="0"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865FB88-1D54-4FD8-95A6-F963A2A59849}" cache="Slicer_Gender" caption="Gender" rowHeight="241300"/>
  <slicer name="Department" xr10:uid="{802FDBB5-DF44-402E-AE2C-11DA27C04A3D}" cache="Slicer_Department" caption="Department"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47ECF91-C961-4286-879B-E7DF69EB5673}" cache="Slicer_Gender" caption="Gender" style="SlicerStyleDark2" rowHeight="241300"/>
  <slicer name="Department 1" xr10:uid="{015050E5-AA60-446C-9FD2-52530F6BD14E}" cache="Slicer_Department" caption="Department"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DD913AC-53A5-4E4B-A8A4-C8842AE55519}" name="_1_Employee_Master_Updated10" displayName="_1_Employee_Master_Updated10" ref="A1:Y51" tableType="queryTable" totalsRowShown="0" headerRowDxfId="172" dataDxfId="171">
  <autoFilter ref="A1:Y51" xr:uid="{EDD913AC-53A5-4E4B-A8A4-C8842AE55519}"/>
  <tableColumns count="25">
    <tableColumn id="1" xr3:uid="{11C19883-7E4D-4B48-936A-7C9431825391}" uniqueName="1" name="Emp_ID" queryTableFieldId="1" dataDxfId="170"/>
    <tableColumn id="4" xr3:uid="{0B38E17A-6FB4-4C1F-9A4E-F392FFE0846C}" uniqueName="4" name="Name" queryTableFieldId="35" dataDxfId="169"/>
    <tableColumn id="8" xr3:uid="{D1167561-0E58-442A-9F91-CC3ADE8069CB}" uniqueName="8" name="Age" queryTableFieldId="12" dataDxfId="168"/>
    <tableColumn id="24" xr3:uid="{9A15AD5C-FA41-430A-AB42-A01429A8EE9B}" uniqueName="24" name="Age Group" queryTableFieldId="25" dataDxfId="167"/>
    <tableColumn id="3" xr3:uid="{2D1DED9C-255C-43E6-87DF-954E4131C3F4}" uniqueName="3" name="Gender" queryTableFieldId="3" dataDxfId="166"/>
    <tableColumn id="25" xr3:uid="{D8F200B2-BB74-44AC-AC4B-6A9A2594DA01}" uniqueName="25" name="Date Of joining" queryTableFieldId="26" dataDxfId="165"/>
    <tableColumn id="13" xr3:uid="{9C8DFA4B-F593-44A2-A201-9D776CC9FB29}" uniqueName="13" name="DOB" queryTableFieldId="36" dataDxfId="164"/>
    <tableColumn id="22" xr3:uid="{6B5B403A-8D14-4C15-8CF5-6A1B4823CE77}" uniqueName="22" name="Designation" queryTableFieldId="23" dataDxfId="163"/>
    <tableColumn id="5" xr3:uid="{DFC78446-8C0A-4E72-8B7E-783E4D95608B}" uniqueName="5" name="DOJ" queryTableFieldId="5" dataDxfId="162"/>
    <tableColumn id="20" xr3:uid="{24232E57-8F2E-43A6-9EED-567422C97C86}" uniqueName="20" name="Location" queryTableFieldId="37" dataDxfId="161"/>
    <tableColumn id="7" xr3:uid="{260850A5-3AFB-4EF9-931D-E6D3F3F647FA}" uniqueName="7" name="Department" queryTableFieldId="7" dataDxfId="160"/>
    <tableColumn id="23" xr3:uid="{54F6E1E8-4586-4F0A-9D46-E357883F3EDB}" uniqueName="23" name="Designation2" queryTableFieldId="38" dataDxfId="159"/>
    <tableColumn id="9" xr3:uid="{E877CF07-9A50-45F2-9E2A-96C47C458C8F}" uniqueName="9" name="Employee_Type" queryTableFieldId="9" dataDxfId="158"/>
    <tableColumn id="10" xr3:uid="{CD8200F8-91EF-4C5C-82FD-6AB5F31AFD92}" uniqueName="10" name="Work_Location_Type" queryTableFieldId="10" dataDxfId="157"/>
    <tableColumn id="11" xr3:uid="{C64B014B-9456-4CDE-875B-A030C76E93AD}" uniqueName="11" name="Employment_Status" queryTableFieldId="11" dataDxfId="156"/>
    <tableColumn id="14" xr3:uid="{60EA06C7-8DDD-45F0-94D4-C8792F7F39E1}" uniqueName="14" name="Attrition Flag" queryTableFieldId="15" dataDxfId="155"/>
    <tableColumn id="12" xr3:uid="{03415D46-82C0-4EDB-A51C-C3F7DB3A6068}" uniqueName="12" name="Attrition Reasons" queryTableFieldId="13" dataDxfId="154"/>
    <tableColumn id="15" xr3:uid="{1747FBB7-F64D-4697-A778-B391B9E8D190}" uniqueName="15" name="Salary" queryTableFieldId="16" dataDxfId="153"/>
    <tableColumn id="16" xr3:uid="{10A53640-8BB6-4986-898F-D82E4AB29274}" uniqueName="16" name="Salary Band" queryTableFieldId="17" dataDxfId="152">
      <calculatedColumnFormula>IF(R2&lt;=500000,"Entry",
IF(R2&lt;=800000,"Junior",
IF(R2&lt;=1200000,"Mid",
IF(R2&lt;=1500000,"Senior","Leadership"))))</calculatedColumnFormula>
    </tableColumn>
    <tableColumn id="17" xr3:uid="{E70353F0-4713-47E9-B5D8-9410D5206787}" uniqueName="17" name="Performance Rating" queryTableFieldId="18" dataDxfId="151"/>
    <tableColumn id="19" xr3:uid="{5AEB6604-1D11-4BC8-A8EC-42C3664D67EF}" uniqueName="19" name="Engagement Score" queryTableFieldId="20" dataDxfId="150">
      <calculatedColumnFormula>Engagement_Pulse_Survey[[#This Row],[Engagement Score]]/4</calculatedColumnFormula>
    </tableColumn>
    <tableColumn id="18" xr3:uid="{DA40FB48-7714-44D2-8037-BD716F1A1382}" uniqueName="18" name="Job_Satisfaction" queryTableFieldId="19" dataDxfId="149"/>
    <tableColumn id="6" xr3:uid="{5D27F9A7-7D35-4AE8-8BBC-35B4834EC58C}" uniqueName="6" name="Attendance Percentage" queryTableFieldId="28" dataDxfId="148" dataCellStyle="Percent"/>
    <tableColumn id="2" xr3:uid="{E1FE2F58-9652-480D-864A-1764BC98110E}" uniqueName="2" name="Appraisal Percentage" queryTableFieldId="34" dataDxfId="147" dataCellStyle="Percent"/>
    <tableColumn id="21" xr3:uid="{68D86975-1501-4C7F-89EB-2AD2013B27BB}" uniqueName="21" name="Absenteesim Flag" queryTableFieldId="22"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2FDB8B-FEDF-495B-9A40-3CAEEA55D519}" name="_1_Employee_Master_Updated" displayName="_1_Employee_Master_Updated" ref="A1:K51" tableType="queryTable" totalsRowShown="0">
  <tableColumns count="11">
    <tableColumn id="1" xr3:uid="{685FF2B0-3B39-47EC-9396-3BAE2E04324D}" uniqueName="1" name="Emp_ID" queryTableFieldId="1" dataDxfId="77"/>
    <tableColumn id="2" xr3:uid="{BD8D4486-1A39-47C0-A633-FC09E0F0ABF7}" uniqueName="2" name="Name" queryTableFieldId="2" dataDxfId="76"/>
    <tableColumn id="3" xr3:uid="{58001D58-818B-42F9-9A36-4601BF4BB2EA}" uniqueName="3" name="Gender" queryTableFieldId="3" dataDxfId="75"/>
    <tableColumn id="4" xr3:uid="{676CD654-D611-4897-9251-2FDC5C645811}" uniqueName="4" name="DOB" queryTableFieldId="4" dataDxfId="74"/>
    <tableColumn id="5" xr3:uid="{C70C7465-C0AA-4610-A630-FDE319FE9E6A}" uniqueName="5" name="DOJ" queryTableFieldId="5" dataDxfId="73"/>
    <tableColumn id="6" xr3:uid="{380662B6-0ECF-47E8-8F2C-4C45E2056D74}" uniqueName="6" name="Location" queryTableFieldId="6" dataDxfId="72"/>
    <tableColumn id="7" xr3:uid="{184E664D-D141-49CA-90B0-C546AB918530}" uniqueName="7" name="Department" queryTableFieldId="7" dataDxfId="71"/>
    <tableColumn id="8" xr3:uid="{2517ACE6-1F27-45B4-AAB2-EF312A6DDF95}" uniqueName="8" name="Designation" queryTableFieldId="8" dataDxfId="70"/>
    <tableColumn id="9" xr3:uid="{A5B1CCE8-4175-4FEA-98D7-E830C9309760}" uniqueName="9" name="Employee_Type" queryTableFieldId="9" dataDxfId="69"/>
    <tableColumn id="10" xr3:uid="{B336E4D4-4DCC-4616-8D43-C3A008A6C125}" uniqueName="10" name="Work_Location_Type" queryTableFieldId="10" dataDxfId="68"/>
    <tableColumn id="11" xr3:uid="{0FE5D1E1-DE09-4925-81AB-6F0E73F983E6}" uniqueName="11" name="Employment_Status" queryTableFieldId="11" dataDxfId="6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8CCD07-AD25-47F6-BAF0-5DE163F01E70}" name="Attrition_with_Complaints" displayName="Attrition_with_Complaints" ref="A1:M51" tableType="queryTable" totalsRowShown="0">
  <tableColumns count="13">
    <tableColumn id="1" xr3:uid="{F05EC117-73E0-417B-8370-B9F475417222}" uniqueName="1" name="Emp_ID" queryTableFieldId="1" dataDxfId="66"/>
    <tableColumn id="11" xr3:uid="{7182BCA7-E601-4C8C-A20B-53594AE6F7E2}" uniqueName="11" name="Department" queryTableFieldId="11" dataDxfId="65"/>
    <tableColumn id="2" xr3:uid="{FF44F35C-E47A-4D6B-9DF6-5E714C393F6C}" uniqueName="2" name="Employee Status" queryTableFieldId="2" dataDxfId="64"/>
    <tableColumn id="3" xr3:uid="{25D07C5F-32D7-4E3E-B5F8-8B14CF8EB035}" uniqueName="3" name="Record Type" queryTableFieldId="3" dataDxfId="63"/>
    <tableColumn id="4" xr3:uid="{F13C4EC2-EF1C-4FC2-BCF7-D3A376A04405}" uniqueName="4" name="Attrition_Complaints" queryTableFieldId="4" dataDxfId="62"/>
    <tableColumn id="13" xr3:uid="{29177930-9623-491C-876A-B93979B5D5CF}" uniqueName="13" name="Resignation_Date" queryTableFieldId="13" dataDxfId="61">
      <calculatedColumnFormula>TEXT(#REF!,"YYYY-MM")</calculatedColumnFormula>
    </tableColumn>
    <tableColumn id="12" xr3:uid="{AE4747D6-7795-45AB-8932-88CF79289406}" uniqueName="12" name="LastWorking_Date" queryTableFieldId="12" dataDxfId="60">
      <calculatedColumnFormula>TEXT(#REF!,"yyyy-mm")</calculatedColumnFormula>
    </tableColumn>
    <tableColumn id="5" xr3:uid="{90C2E8AF-961C-416B-A9E2-5D49CB6A8F13}" uniqueName="5" name="Resignation_Date2" queryTableFieldId="14" dataDxfId="59"/>
    <tableColumn id="6" xr3:uid="{7EA56927-F9D4-43AE-A703-46D547C42E04}" uniqueName="6" name="LastWorking_Date3" queryTableFieldId="15" dataDxfId="58"/>
    <tableColumn id="7" xr3:uid="{B7337CD1-4B92-4A7B-BEB7-ED5D3971B633}" uniqueName="7" name="Exit_Type" queryTableFieldId="7" dataDxfId="57"/>
    <tableColumn id="8" xr3:uid="{E3E06332-E55E-4CC5-9523-F49B1F78C580}" uniqueName="8" name="Exit_Reason" queryTableFieldId="8" dataDxfId="56"/>
    <tableColumn id="9" xr3:uid="{99A48305-74E6-4D85-A9E0-7D9FC73BEE51}" uniqueName="9" name="Notice_Period" queryTableFieldId="9" dataDxfId="55"/>
    <tableColumn id="10" xr3:uid="{25A3A9BC-9B29-4125-9BF1-A37F82CE624B}" uniqueName="10" name="Rehire_Eligibility" queryTableFieldId="10" dataDxfId="5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7D9951-34C0-4286-A6F2-A720A8C52CCD}" name="Appraisal_Updated" displayName="Appraisal_Updated" ref="A1:D51" tableType="queryTable" totalsRowShown="0">
  <autoFilter ref="A1:D51" xr:uid="{F27D9951-34C0-4286-A6F2-A720A8C52CCD}"/>
  <tableColumns count="4">
    <tableColumn id="1" xr3:uid="{F81E6031-5717-4F46-AF88-0072BBC86FBA}" uniqueName="1" name="Emp_ID" queryTableFieldId="1" dataDxfId="53"/>
    <tableColumn id="2" xr3:uid="{798FBD27-2CB2-4301-BE16-A7966625E19B}" uniqueName="2" name="Joining_CTC" queryTableFieldId="2"/>
    <tableColumn id="3" xr3:uid="{3C1BACF7-2CA9-4279-9E6C-089F3BFCE188}" uniqueName="3" name="Appraisal_Month" queryTableFieldId="3" dataDxfId="52"/>
    <tableColumn id="4" xr3:uid="{A900ED9D-F352-451F-A41D-6EED6AA844F4}" uniqueName="4" name="Appraisal_Percentage" queryTableFieldId="4" dataDxfId="51" dataCellStyle="Percent"/>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9EC3CC-B1EF-4E44-9618-55B546C596EC}" name="Attendance_Status_Updated" displayName="Attendance_Status_Updated" ref="A1:E201" tableType="queryTable" totalsRowShown="0">
  <autoFilter ref="A1:E201" xr:uid="{2C9EC3CC-B1EF-4E44-9618-55B546C596EC}"/>
  <tableColumns count="5">
    <tableColumn id="1" xr3:uid="{08CB5CA7-19EC-486F-8A1E-654DD58276D2}" uniqueName="1" name="AttendanceID" queryTableFieldId="1" dataDxfId="50"/>
    <tableColumn id="2" xr3:uid="{33693449-6BB7-469D-A4AC-C4D9EA558740}" uniqueName="2" name="Emp_ID" queryTableFieldId="2" dataDxfId="49"/>
    <tableColumn id="3" xr3:uid="{06BAE266-D7C2-4658-8255-F3B1B02C64F3}" uniqueName="3" name="Attendance_Date" queryTableFieldId="3" dataDxfId="48"/>
    <tableColumn id="4" xr3:uid="{42F1301E-3D08-413B-846B-4200764F4C76}" uniqueName="4" name="Attendance_Status" queryTableFieldId="4" dataDxfId="47"/>
    <tableColumn id="5" xr3:uid="{E135317A-EEDC-436C-8E52-3CD5E2FA8F18}" uniqueName="5" name="Absent Flag" queryTableFieldId="5" dataDxfId="46">
      <calculatedColumnFormula>IF(Attendance_Status_Updated[[#This Row],[Attendance_Status]]="Absent",1,0)</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B31AEB0-A362-4F77-82D8-9350532FB2A2}" name="Engagement_Pulse_Survey" displayName="Engagement_Pulse_Survey" ref="A1:J41" tableType="queryTable" totalsRowShown="0">
  <autoFilter ref="A1:J41" xr:uid="{0B31AEB0-A362-4F77-82D8-9350532FB2A2}"/>
  <tableColumns count="10">
    <tableColumn id="1" xr3:uid="{D6ED2B2C-0D4B-4EB8-94F4-48ADD29CD656}" uniqueName="1" name="Emp_ID" queryTableFieldId="1" dataDxfId="45"/>
    <tableColumn id="2" xr3:uid="{2026A4C0-6D5B-4513-B393-153AEE1B4B71}" uniqueName="2" name="Survey_Date" queryTableFieldId="2" dataDxfId="44"/>
    <tableColumn id="3" xr3:uid="{5F4A87F7-C393-47C2-93C5-8DBAF1B265EF}" uniqueName="3" name="Job_Satisfaction" queryTableFieldId="3"/>
    <tableColumn id="4" xr3:uid="{B9971CD5-029D-4772-AFDB-BB101DEC52DC}" uniqueName="4" name="Work_Life_Balance" queryTableFieldId="4"/>
    <tableColumn id="5" xr3:uid="{F825A311-550D-4C91-A563-1DF21E901582}" uniqueName="5" name="Growth_Opportunities" queryTableFieldId="5"/>
    <tableColumn id="9" xr3:uid="{9E737DE6-47ED-4D79-B393-584EFD686F09}" uniqueName="9" name="Employee satisfaction" queryTableFieldId="9" dataDxfId="43" dataCellStyle="Percent">
      <calculatedColumnFormula>Engagement_Pulse_Survey[[#This Row],[Job_Satisfaction]]+Engagement_Pulse_Survey[[#This Row],[Work_Life_Balance]]+Engagement_Pulse_Survey[[#This Row],[Growth_Opportunities]]</calculatedColumnFormula>
    </tableColumn>
    <tableColumn id="10" xr3:uid="{CCA2EA33-7105-4E03-A1F3-58D5030A9AD0}" uniqueName="10" name="Column2" queryTableFieldId="10" dataDxfId="42" dataCellStyle="Percent">
      <calculatedColumnFormula>Engagement_Pulse_Survey[[#This Row],[Employee satisfaction]]*10/100</calculatedColumnFormula>
    </tableColumn>
    <tableColumn id="6" xr3:uid="{828D8576-A72B-4845-AFE3-FC052CC614A5}" uniqueName="6" name="Team_Collaboration" queryTableFieldId="6"/>
    <tableColumn id="7" xr3:uid="{0F5A62A9-B74A-45EC-85B5-7192084D1E9F}" uniqueName="7" name="Engagement Score" queryTableFieldId="7" dataDxfId="41">
      <calculatedColumnFormula>AVERAGE(Engagement_Pulse_Survey[[#This Row],[Job_Satisfaction]]+Engagement_Pulse_Survey[[#This Row],[Work_Life_Balance]]+Engagement_Pulse_Survey[[#This Row],[Growth_Opportunities]]+Engagement_Pulse_Survey[[#This Row],[Team_Collaboration]])</calculatedColumnFormula>
    </tableColumn>
    <tableColumn id="8" xr3:uid="{DBB099F6-BEED-4171-BBB5-352F0547EBB9}" uniqueName="8" name="Column1" queryTableFieldId="8" dataDxfId="40">
      <calculatedColumnFormula>Engagement_Pulse_Survey[[#This Row],[Engagement Score]]/4</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FC90363-A535-4922-864F-3550A2F79184}" name="Leave_Updated" displayName="Leave_Updated" ref="A1:E16" tableType="queryTable" totalsRowShown="0">
  <autoFilter ref="A1:E16" xr:uid="{0FC90363-A535-4922-864F-3550A2F79184}"/>
  <tableColumns count="5">
    <tableColumn id="1" xr3:uid="{BE6D5EE5-044F-4A73-9E1B-F1CC85AB0EF9}" uniqueName="1" name="Emp_ID" queryTableFieldId="1" dataDxfId="39"/>
    <tableColumn id="2" xr3:uid="{18A028BA-29BF-473D-A087-5DD32154829A}" uniqueName="2" name="Start_Date" queryTableFieldId="2" dataDxfId="38"/>
    <tableColumn id="3" xr3:uid="{4992B9CA-509B-4081-BB97-AD6084BB837C}" uniqueName="3" name="End_Date" queryTableFieldId="3" dataDxfId="37"/>
    <tableColumn id="4" xr3:uid="{E9FCE97A-CA24-44E3-9255-2AA5EF06CDD2}" uniqueName="4" name="Leave_Type" queryTableFieldId="4" dataDxfId="36"/>
    <tableColumn id="5" xr3:uid="{534F10CB-ECA8-4C48-9170-BC88FB0D19C4}" uniqueName="5" name="Approval_Status" queryTableFieldId="5" dataDxfId="3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A778A2-ADC4-4C86-91BC-ED09B59F8F31}" name="Official_Updated" displayName="Official_Updated" ref="A1:E51" tableType="queryTable" totalsRowShown="0">
  <autoFilter ref="A1:E51" xr:uid="{27A778A2-ADC4-4C86-91BC-ED09B59F8F31}"/>
  <tableColumns count="5">
    <tableColumn id="1" xr3:uid="{F0CA1D68-7E43-47F2-8A0F-FAECF208B119}" uniqueName="1" name="Emp_ID" queryTableFieldId="1" dataDxfId="34"/>
    <tableColumn id="2" xr3:uid="{1BD3BEA5-66D7-4355-853F-F2C1E7CF7275}" uniqueName="2" name="Department" queryTableFieldId="2" dataDxfId="33"/>
    <tableColumn id="3" xr3:uid="{8BDBB5A5-CDA4-437A-8303-EA3B90D3E194}" uniqueName="3" name="Designation" queryTableFieldId="3" dataDxfId="32"/>
    <tableColumn id="4" xr3:uid="{9ABAFB4D-6454-40DB-A515-B9EE6268325E}" uniqueName="4" name="CTC" queryTableFieldId="4"/>
    <tableColumn id="5" xr3:uid="{12D2717F-F333-43BB-AE9C-48DAD5D176E0}" uniqueName="5" name="DOE" queryTableFieldId="5" dataDxfId="3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896C22B-B261-4C8B-B473-E81DF5D9B4DA}" name="Payroll_Updated" displayName="Payroll_Updated" ref="A1:L51" tableType="queryTable" totalsRowShown="0">
  <autoFilter ref="A1:L51" xr:uid="{B896C22B-B261-4C8B-B473-E81DF5D9B4DA}"/>
  <tableColumns count="12">
    <tableColumn id="1" xr3:uid="{78DC5126-DA56-4662-B4B0-30519B9A6F3F}" uniqueName="1" name="Emp_ID" queryTableFieldId="1" dataDxfId="30"/>
    <tableColumn id="2" xr3:uid="{ED1FF084-C3E6-46A0-B371-80AF8953BF24}" uniqueName="2" name="Payroll_month" queryTableFieldId="2" dataDxfId="29"/>
    <tableColumn id="3" xr3:uid="{8D2ACEA1-89B7-4657-8AD5-26A805AD0580}" uniqueName="3" name="Payroll_Year" queryTableFieldId="3"/>
    <tableColumn id="4" xr3:uid="{78E63869-09FF-4790-B05B-64CF77C6BF64}" uniqueName="4" name="Basic_salary" queryTableFieldId="4"/>
    <tableColumn id="5" xr3:uid="{F7652356-F1B6-4A5C-AF0E-CADB54491897}" uniqueName="5" name="HRA" queryTableFieldId="5"/>
    <tableColumn id="6" xr3:uid="{A4AA7973-F031-461B-8F56-4E8B8B6540BA}" uniqueName="6" name="DA" queryTableFieldId="6"/>
    <tableColumn id="7" xr3:uid="{F0487B30-F3C1-4B70-8ACB-6715D9B367E0}" uniqueName="7" name="BONUS" queryTableFieldId="7"/>
    <tableColumn id="8" xr3:uid="{FFADE3C1-4FC0-4D3B-8086-7F1617D18D81}" uniqueName="8" name="Gross_salary" queryTableFieldId="8"/>
    <tableColumn id="9" xr3:uid="{71636365-5257-47F3-ADC7-CACEBBE1F133}" uniqueName="9" name="Total_deductions" queryTableFieldId="9"/>
    <tableColumn id="10" xr3:uid="{A7D65409-4311-4371-926D-020584623676}" uniqueName="10" name="Net_salary" queryTableFieldId="10"/>
    <tableColumn id="11" xr3:uid="{D99E9C87-56FE-4B37-A64C-458C1ADEA64D}" uniqueName="11" name="Payment_status" queryTableFieldId="11" dataDxfId="28"/>
    <tableColumn id="12" xr3:uid="{23D09CD8-D3FA-4D02-BAC9-8635CBBE077B}" uniqueName="12" name="Payment_date" queryTableFieldId="12" dataDxfId="2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9896B18-6156-45DE-A6DB-E83A4F2C47FB}" name="Recruitment_Updated" displayName="Recruitment_Updated" ref="A1:K31" tableType="queryTable" totalsRowShown="0">
  <autoFilter ref="A1:K31" xr:uid="{09896B18-6156-45DE-A6DB-E83A4F2C47FB}"/>
  <tableColumns count="11">
    <tableColumn id="1" xr3:uid="{50982B15-F9DE-4D5E-8DB1-6979D43B52AC}" uniqueName="1" name="Temp_ID" queryTableFieldId="1" dataDxfId="26"/>
    <tableColumn id="2" xr3:uid="{78D8EBD4-C1C4-4C2B-BF45-7979DE8233CD}" uniqueName="2" name="Applied_Position" queryTableFieldId="2" dataDxfId="25"/>
    <tableColumn id="3" xr3:uid="{5487E747-D10F-4D0C-9219-E732F77967B3}" uniqueName="3" name="Applied_Department" queryTableFieldId="3" dataDxfId="24"/>
    <tableColumn id="4" xr3:uid="{588D5540-FD5B-4602-8500-0B962BB70CA2}" uniqueName="4" name="Experience" queryTableFieldId="4"/>
    <tableColumn id="5" xr3:uid="{6AC0A774-241E-4217-B7BA-283BCE31D2CD}" uniqueName="5" name="Application_Date" queryTableFieldId="5" dataDxfId="23"/>
    <tableColumn id="9" xr3:uid="{8C0C8A3F-DE3B-4893-B078-493622C2B4A2}" uniqueName="9" name="Application Month" queryTableFieldId="9" dataDxfId="22">
      <calculatedColumnFormula>TEXT(Recruitment_Updated[[#This Row],[Application_Date]],"MMM-YYYY")</calculatedColumnFormula>
    </tableColumn>
    <tableColumn id="6" xr3:uid="{D37C138B-B6D5-485F-8B8A-9E101568B5DC}" uniqueName="6" name="Interview_Date" queryTableFieldId="6" dataDxfId="21"/>
    <tableColumn id="10" xr3:uid="{6039243F-C4C6-4C04-91EF-A2EA159E18E7}" uniqueName="10" name="Interview Month" queryTableFieldId="10" dataDxfId="20">
      <calculatedColumnFormula>TEXT(Recruitment_Updated[[#This Row],[Interview_Date]],"mm-YYYY")</calculatedColumnFormula>
    </tableColumn>
    <tableColumn id="7" xr3:uid="{6EE34F39-A730-41FE-B680-3E0AE2340A1C}" uniqueName="7" name="Sourcing_Channel" queryTableFieldId="7" dataDxfId="19"/>
    <tableColumn id="8" xr3:uid="{04133F73-CA66-41AA-B492-59BF7A6ACA6E}" uniqueName="8" name="Interview_Status" queryTableFieldId="8" dataDxfId="18"/>
    <tableColumn id="11" xr3:uid="{A980F1A4-10B2-4A1C-B163-AED951A0764B}" uniqueName="11" name="Hiring Funel Stage" queryTableFieldId="11" dataDxfId="17">
      <calculatedColumnFormula>IF(Recruitment_Updated[[#This Row],[Interview_Status]]="Rejected","Rejected",
IF(Recruitment_Updated[[#This Row],[Interview_Status]]="On Hold","In Progress",
IF(Recruitment_Updated[[#This Row],[Interview_Status]]="Shortlisted","Shortlisted",
IF(Recruitment_Updated[[#This Row],[Interview_Status]]="Offered","Final Stage",""))))</calculatedColumnFormula>
    </tableColumn>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F02C745-875D-4335-9A97-13B002CDDAB1}" name="Review_Updated" displayName="Review_Updated" ref="A1:I51" tableType="queryTable" totalsRowShown="0" headerRowDxfId="16" dataDxfId="15">
  <autoFilter ref="A1:I51" xr:uid="{2F02C745-875D-4335-9A97-13B002CDDAB1}"/>
  <tableColumns count="9">
    <tableColumn id="1" xr3:uid="{72EFB02D-2520-4661-9918-F1E8B509F1A0}" uniqueName="1" name="Emp_ID" queryTableFieldId="10" dataDxfId="14"/>
    <tableColumn id="8" xr3:uid="{A8D980E2-E0CB-4214-8034-4A1EE9C07404}" uniqueName="8" name="Reporting Person ID" queryTableFieldId="8" dataDxfId="13"/>
    <tableColumn id="2" xr3:uid="{40CD363E-8CE4-4E53-9721-BC5BDF81F064}" uniqueName="2" name="Review_ID" queryTableFieldId="2" dataDxfId="12"/>
    <tableColumn id="9" xr3:uid="{808F1E27-6849-44A7-82DE-6C8037EC08EA}" uniqueName="9" name="Emp_ID2" queryTableFieldId="9" dataDxfId="11"/>
    <tableColumn id="3" xr3:uid="{8DBFA9D5-906F-48DD-8C45-6ECCEE03A6F4}" uniqueName="3" name="Team_Lead_Supervisor" queryTableFieldId="3" dataDxfId="10"/>
    <tableColumn id="4" xr3:uid="{A77D9888-1159-40A3-B358-33929ED56AD4}" uniqueName="4" name="Performance_Rating" queryTableFieldId="4" dataDxfId="9"/>
    <tableColumn id="5" xr3:uid="{3E9C604C-0CA6-46B8-8997-5634EA777050}" uniqueName="5" name="Attendance_Rating" queryTableFieldId="5" dataDxfId="8"/>
    <tableColumn id="6" xr3:uid="{F46EAD6E-D0A4-42CB-97BE-BB33728404C8}" uniqueName="6" name="Review_Duration" queryTableFieldId="6" dataDxfId="7"/>
    <tableColumn id="7" xr3:uid="{CF096C35-D954-4CB4-AC36-540840E84577}" uniqueName="7" name="Review_Date" queryTableFieldId="7" dataDxfId="6"/>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4FE1520-6653-41D5-B154-08307F28DE8A}" name="Working_Hours_Updated" displayName="Working_Hours_Updated" ref="A1:F185" tableType="queryTable" totalsRowShown="0">
  <autoFilter ref="A1:F185" xr:uid="{A4FE1520-6653-41D5-B154-08307F28DE8A}"/>
  <tableColumns count="6">
    <tableColumn id="1" xr3:uid="{52A6660A-60A5-4780-B7EF-0700A54489CC}" uniqueName="1" name="Attendance_Id" queryTableFieldId="1" dataDxfId="5"/>
    <tableColumn id="2" xr3:uid="{BE80A4EF-BA1F-4BB5-92D1-E4CF3BA26C20}" uniqueName="2" name="Emp_ID" queryTableFieldId="2" dataDxfId="4"/>
    <tableColumn id="3" xr3:uid="{448D1304-2496-4E11-A2DD-76B07C3C8593}" uniqueName="3" name="Attendance_Date" queryTableFieldId="3" dataDxfId="3"/>
    <tableColumn id="4" xr3:uid="{7B698B26-9061-4395-A21C-D61198700031}" uniqueName="4" name="IN_Time" queryTableFieldId="4" dataDxfId="2"/>
    <tableColumn id="5" xr3:uid="{C761E85A-2CF5-4955-9354-E615A3556361}" uniqueName="5" name="OUT_Time" queryTableFieldId="5" dataDxfId="1"/>
    <tableColumn id="6" xr3:uid="{0B707622-8410-455B-8231-0125CF89E6FF}" uniqueName="6" name="Total_Hours"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1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6587-BC85-4FB5-B718-19F7578B4EE5}">
  <dimension ref="A1:Y51"/>
  <sheetViews>
    <sheetView topLeftCell="A2" workbookViewId="0">
      <selection sqref="A1:U51"/>
    </sheetView>
  </sheetViews>
  <sheetFormatPr defaultColWidth="8" defaultRowHeight="15" x14ac:dyDescent="0.25"/>
  <cols>
    <col min="1" max="1" width="12.28515625" style="7" bestFit="1" customWidth="1"/>
    <col min="2" max="2" width="12.85546875" style="7" bestFit="1" customWidth="1"/>
    <col min="3" max="3" width="9" style="7" bestFit="1" customWidth="1"/>
    <col min="4" max="4" width="15" style="7" bestFit="1" customWidth="1"/>
    <col min="5" max="5" width="12.28515625" style="7" bestFit="1" customWidth="1"/>
    <col min="6" max="6" width="19" style="7" bestFit="1" customWidth="1"/>
    <col min="7" max="7" width="10.7109375" style="7" bestFit="1" customWidth="1"/>
    <col min="8" max="8" width="17.5703125" style="7" bestFit="1" customWidth="1"/>
    <col min="9" max="9" width="10.7109375" style="7" bestFit="1" customWidth="1"/>
    <col min="10" max="10" width="11.140625" style="7" bestFit="1" customWidth="1"/>
    <col min="11" max="11" width="16.28515625" style="7" bestFit="1" customWidth="1"/>
    <col min="12" max="12" width="17.5703125" style="7" bestFit="1" customWidth="1"/>
    <col min="13" max="13" width="19.85546875" style="7" bestFit="1" customWidth="1"/>
    <col min="14" max="14" width="24.42578125" style="7" bestFit="1" customWidth="1"/>
    <col min="15" max="15" width="23.5703125" style="7" bestFit="1" customWidth="1"/>
    <col min="16" max="16" width="17.140625" style="7" bestFit="1" customWidth="1"/>
    <col min="17" max="17" width="31.5703125" bestFit="1" customWidth="1"/>
    <col min="18" max="18" width="11.5703125" style="3" bestFit="1" customWidth="1"/>
    <col min="19" max="19" width="15.7109375" style="3" bestFit="1" customWidth="1"/>
    <col min="20" max="20" width="23.28515625" bestFit="1" customWidth="1"/>
    <col min="21" max="21" width="22.140625" bestFit="1" customWidth="1"/>
    <col min="22" max="22" width="20" bestFit="1" customWidth="1"/>
    <col min="23" max="23" width="26.7109375" bestFit="1" customWidth="1"/>
    <col min="24" max="24" width="24.5703125" bestFit="1" customWidth="1"/>
    <col min="25" max="25" width="21.42578125" bestFit="1" customWidth="1"/>
  </cols>
  <sheetData>
    <row r="1" spans="1:25" s="3" customFormat="1" x14ac:dyDescent="0.25">
      <c r="A1" s="7" t="s">
        <v>0</v>
      </c>
      <c r="B1" t="s">
        <v>1</v>
      </c>
      <c r="C1" s="7" t="s">
        <v>481</v>
      </c>
      <c r="D1" s="7" t="s">
        <v>490</v>
      </c>
      <c r="E1" s="7" t="s">
        <v>2</v>
      </c>
      <c r="F1" s="7" t="s">
        <v>494</v>
      </c>
      <c r="G1" t="s">
        <v>3</v>
      </c>
      <c r="H1" s="7" t="s">
        <v>7</v>
      </c>
      <c r="I1" s="7" t="s">
        <v>4</v>
      </c>
      <c r="J1" t="s">
        <v>5</v>
      </c>
      <c r="K1" s="7" t="s">
        <v>6</v>
      </c>
      <c r="L1" t="s">
        <v>640</v>
      </c>
      <c r="M1" s="7" t="s">
        <v>8</v>
      </c>
      <c r="N1" s="7" t="s">
        <v>9</v>
      </c>
      <c r="O1" s="7" t="s">
        <v>10</v>
      </c>
      <c r="P1" s="7" t="s">
        <v>483</v>
      </c>
      <c r="Q1" s="7" t="s">
        <v>482</v>
      </c>
      <c r="R1" s="7" t="s">
        <v>484</v>
      </c>
      <c r="S1" s="7" t="s">
        <v>485</v>
      </c>
      <c r="T1" s="7" t="s">
        <v>486</v>
      </c>
      <c r="U1" s="7" t="s">
        <v>487</v>
      </c>
      <c r="V1" s="7" t="s">
        <v>317</v>
      </c>
      <c r="W1" s="7" t="s">
        <v>488</v>
      </c>
      <c r="X1" s="7" t="s">
        <v>551</v>
      </c>
      <c r="Y1" s="7" t="s">
        <v>489</v>
      </c>
    </row>
    <row r="2" spans="1:25" x14ac:dyDescent="0.25">
      <c r="A2" s="7" t="s">
        <v>11</v>
      </c>
      <c r="B2" t="s">
        <v>590</v>
      </c>
      <c r="C2" s="7">
        <v>41</v>
      </c>
      <c r="D2" s="10" t="s">
        <v>491</v>
      </c>
      <c r="E2" s="7" t="s">
        <v>12</v>
      </c>
      <c r="F2" s="10" t="s">
        <v>495</v>
      </c>
      <c r="G2" s="1">
        <v>31040</v>
      </c>
      <c r="H2" s="7" t="s">
        <v>15</v>
      </c>
      <c r="I2" s="10">
        <v>45144</v>
      </c>
      <c r="J2" t="s">
        <v>13</v>
      </c>
      <c r="K2" s="7" t="s">
        <v>14</v>
      </c>
      <c r="L2" t="s">
        <v>15</v>
      </c>
      <c r="M2" s="7" t="s">
        <v>16</v>
      </c>
      <c r="N2" s="7" t="s">
        <v>17</v>
      </c>
      <c r="O2" s="7" t="s">
        <v>18</v>
      </c>
      <c r="P2" s="7" t="s">
        <v>310</v>
      </c>
      <c r="Q2" s="7" t="s">
        <v>466</v>
      </c>
      <c r="R2" s="11">
        <v>1399100</v>
      </c>
      <c r="S2" s="7" t="str">
        <f t="shared" ref="S2:S33" si="0">IF(R2&lt;=500000,"Entry",
IF(R2&lt;=800000,"Junior",
IF(R2&lt;=1200000,"Mid",
IF(R2&lt;=1500000,"Senior","Leadership"))))</f>
        <v>Senior</v>
      </c>
      <c r="T2" s="7">
        <v>4.2</v>
      </c>
      <c r="U2" s="3">
        <f>Engagement_Pulse_Survey[[#This Row],[Engagement Score]]/4</f>
        <v>2.75</v>
      </c>
      <c r="V2" s="7">
        <v>3</v>
      </c>
      <c r="W2" s="12">
        <v>0.82</v>
      </c>
      <c r="X2" s="12">
        <v>0.1</v>
      </c>
      <c r="Y2" s="7" t="s">
        <v>527</v>
      </c>
    </row>
    <row r="3" spans="1:25" x14ac:dyDescent="0.25">
      <c r="A3" s="7" t="s">
        <v>19</v>
      </c>
      <c r="B3" t="s">
        <v>591</v>
      </c>
      <c r="C3" s="7">
        <v>26</v>
      </c>
      <c r="D3" s="10" t="s">
        <v>492</v>
      </c>
      <c r="E3" s="7" t="s">
        <v>20</v>
      </c>
      <c r="F3" s="10" t="s">
        <v>496</v>
      </c>
      <c r="G3" s="1">
        <v>36448</v>
      </c>
      <c r="H3" s="7" t="s">
        <v>23</v>
      </c>
      <c r="I3" s="10">
        <v>44877</v>
      </c>
      <c r="J3" t="s">
        <v>21</v>
      </c>
      <c r="K3" s="7" t="s">
        <v>22</v>
      </c>
      <c r="L3" t="s">
        <v>23</v>
      </c>
      <c r="M3" s="7" t="s">
        <v>16</v>
      </c>
      <c r="N3" s="7" t="s">
        <v>17</v>
      </c>
      <c r="O3" s="7" t="s">
        <v>18</v>
      </c>
      <c r="P3" s="7" t="s">
        <v>310</v>
      </c>
      <c r="Q3" s="7" t="s">
        <v>468</v>
      </c>
      <c r="R3" s="11">
        <v>674935</v>
      </c>
      <c r="S3" s="7" t="str">
        <f t="shared" si="0"/>
        <v>Junior</v>
      </c>
      <c r="T3" s="7">
        <v>4.9000000000000004</v>
      </c>
      <c r="U3" s="3">
        <f>Engagement_Pulse_Survey[[#This Row],[Engagement Score]]/4</f>
        <v>2.75</v>
      </c>
      <c r="V3" s="7">
        <v>4</v>
      </c>
      <c r="W3" s="12">
        <v>0.81</v>
      </c>
      <c r="X3" s="12">
        <v>0.12</v>
      </c>
      <c r="Y3" s="7" t="s">
        <v>527</v>
      </c>
    </row>
    <row r="4" spans="1:25" x14ac:dyDescent="0.25">
      <c r="A4" s="7" t="s">
        <v>24</v>
      </c>
      <c r="B4" t="s">
        <v>592</v>
      </c>
      <c r="C4" s="7">
        <v>24</v>
      </c>
      <c r="D4" s="10" t="s">
        <v>493</v>
      </c>
      <c r="E4" s="7" t="s">
        <v>12</v>
      </c>
      <c r="F4" s="10" t="s">
        <v>497</v>
      </c>
      <c r="G4" s="1">
        <v>37027</v>
      </c>
      <c r="H4" s="7" t="s">
        <v>26</v>
      </c>
      <c r="I4" s="10">
        <v>44586</v>
      </c>
      <c r="J4" t="s">
        <v>13</v>
      </c>
      <c r="K4" s="7" t="s">
        <v>25</v>
      </c>
      <c r="L4" t="s">
        <v>26</v>
      </c>
      <c r="M4" s="7" t="s">
        <v>27</v>
      </c>
      <c r="N4" s="7" t="s">
        <v>17</v>
      </c>
      <c r="O4" s="7" t="s">
        <v>18</v>
      </c>
      <c r="P4" s="7" t="s">
        <v>310</v>
      </c>
      <c r="Q4" s="7" t="s">
        <v>469</v>
      </c>
      <c r="R4" s="11">
        <v>1010966</v>
      </c>
      <c r="S4" s="7" t="str">
        <f t="shared" si="0"/>
        <v>Mid</v>
      </c>
      <c r="T4" s="7">
        <v>4</v>
      </c>
      <c r="U4" s="3">
        <f>Engagement_Pulse_Survey[[#This Row],[Engagement Score]]/4</f>
        <v>4</v>
      </c>
      <c r="V4" s="7">
        <v>4</v>
      </c>
      <c r="W4" s="12">
        <v>0.67</v>
      </c>
      <c r="X4" s="12">
        <v>0.08</v>
      </c>
      <c r="Y4" s="7" t="s">
        <v>528</v>
      </c>
    </row>
    <row r="5" spans="1:25" x14ac:dyDescent="0.25">
      <c r="A5" s="7" t="s">
        <v>28</v>
      </c>
      <c r="B5" t="s">
        <v>593</v>
      </c>
      <c r="C5" s="7">
        <v>30</v>
      </c>
      <c r="D5" s="10" t="s">
        <v>492</v>
      </c>
      <c r="E5" s="7" t="s">
        <v>12</v>
      </c>
      <c r="F5" s="10" t="s">
        <v>498</v>
      </c>
      <c r="G5" s="1">
        <v>34821</v>
      </c>
      <c r="H5" s="7" t="s">
        <v>23</v>
      </c>
      <c r="I5" s="10">
        <v>44816</v>
      </c>
      <c r="J5" t="s">
        <v>21</v>
      </c>
      <c r="K5" s="7" t="s">
        <v>22</v>
      </c>
      <c r="L5" t="s">
        <v>23</v>
      </c>
      <c r="M5" s="7" t="s">
        <v>16</v>
      </c>
      <c r="N5" s="7" t="s">
        <v>29</v>
      </c>
      <c r="O5" s="7" t="s">
        <v>18</v>
      </c>
      <c r="P5" s="7" t="s">
        <v>310</v>
      </c>
      <c r="Q5" s="7" t="s">
        <v>469</v>
      </c>
      <c r="R5" s="11">
        <v>600105</v>
      </c>
      <c r="S5" s="7" t="str">
        <f t="shared" si="0"/>
        <v>Junior</v>
      </c>
      <c r="T5" s="7">
        <v>4</v>
      </c>
      <c r="U5" s="3">
        <f>Engagement_Pulse_Survey[[#This Row],[Engagement Score]]/4</f>
        <v>2.75</v>
      </c>
      <c r="V5" s="7">
        <v>5</v>
      </c>
      <c r="W5" s="12">
        <v>0.84000000000000008</v>
      </c>
      <c r="X5" s="12">
        <v>0.15</v>
      </c>
      <c r="Y5" s="7" t="s">
        <v>527</v>
      </c>
    </row>
    <row r="6" spans="1:25" x14ac:dyDescent="0.25">
      <c r="A6" s="7" t="s">
        <v>30</v>
      </c>
      <c r="B6" t="s">
        <v>594</v>
      </c>
      <c r="C6" s="7">
        <v>32</v>
      </c>
      <c r="D6" s="10" t="s">
        <v>492</v>
      </c>
      <c r="E6" s="7" t="s">
        <v>12</v>
      </c>
      <c r="F6" s="10" t="s">
        <v>499</v>
      </c>
      <c r="G6" s="1">
        <v>34166</v>
      </c>
      <c r="H6" s="7" t="s">
        <v>15</v>
      </c>
      <c r="I6" s="10">
        <v>43964</v>
      </c>
      <c r="J6" t="s">
        <v>31</v>
      </c>
      <c r="K6" s="7" t="s">
        <v>32</v>
      </c>
      <c r="L6" t="s">
        <v>15</v>
      </c>
      <c r="M6" s="7" t="s">
        <v>16</v>
      </c>
      <c r="N6" s="7" t="s">
        <v>29</v>
      </c>
      <c r="O6" s="7" t="s">
        <v>18</v>
      </c>
      <c r="P6" s="7" t="s">
        <v>310</v>
      </c>
      <c r="Q6" s="7" t="s">
        <v>469</v>
      </c>
      <c r="R6" s="11">
        <v>448471</v>
      </c>
      <c r="S6" s="7" t="str">
        <f t="shared" si="0"/>
        <v>Entry</v>
      </c>
      <c r="T6" s="7">
        <v>4.2</v>
      </c>
      <c r="U6" s="3">
        <f>Engagement_Pulse_Survey[[#This Row],[Engagement Score]]/4</f>
        <v>2.5</v>
      </c>
      <c r="V6" s="7">
        <v>5</v>
      </c>
      <c r="W6" s="12">
        <v>0.94000000000000006</v>
      </c>
      <c r="X6" s="12">
        <v>7.0000000000000007E-2</v>
      </c>
      <c r="Y6" s="7" t="s">
        <v>528</v>
      </c>
    </row>
    <row r="7" spans="1:25" x14ac:dyDescent="0.25">
      <c r="A7" s="7" t="s">
        <v>33</v>
      </c>
      <c r="B7" t="s">
        <v>595</v>
      </c>
      <c r="C7" s="7">
        <v>28</v>
      </c>
      <c r="D7" s="10" t="s">
        <v>492</v>
      </c>
      <c r="E7" s="7" t="s">
        <v>20</v>
      </c>
      <c r="F7" s="10" t="s">
        <v>500</v>
      </c>
      <c r="G7" s="1">
        <v>35505</v>
      </c>
      <c r="H7" s="7" t="s">
        <v>35</v>
      </c>
      <c r="I7" s="10">
        <v>43899</v>
      </c>
      <c r="J7" t="s">
        <v>34</v>
      </c>
      <c r="K7" s="7" t="s">
        <v>14</v>
      </c>
      <c r="L7" t="s">
        <v>35</v>
      </c>
      <c r="M7" s="7" t="s">
        <v>16</v>
      </c>
      <c r="N7" s="7" t="s">
        <v>36</v>
      </c>
      <c r="O7" s="7" t="s">
        <v>18</v>
      </c>
      <c r="P7" s="7" t="s">
        <v>310</v>
      </c>
      <c r="Q7" s="7" t="s">
        <v>470</v>
      </c>
      <c r="R7" s="11">
        <v>742377</v>
      </c>
      <c r="S7" s="7" t="str">
        <f t="shared" si="0"/>
        <v>Junior</v>
      </c>
      <c r="T7" s="7">
        <v>3.7</v>
      </c>
      <c r="U7" s="3">
        <f>Engagement_Pulse_Survey[[#This Row],[Engagement Score]]/4</f>
        <v>3.25</v>
      </c>
      <c r="V7" s="7">
        <v>4</v>
      </c>
      <c r="W7" s="12">
        <v>0.8</v>
      </c>
      <c r="X7" s="12">
        <v>0.14000000000000001</v>
      </c>
      <c r="Y7" s="7" t="s">
        <v>528</v>
      </c>
    </row>
    <row r="8" spans="1:25" x14ac:dyDescent="0.25">
      <c r="A8" s="7" t="s">
        <v>37</v>
      </c>
      <c r="B8" t="s">
        <v>596</v>
      </c>
      <c r="C8" s="7">
        <v>43</v>
      </c>
      <c r="D8" s="10" t="s">
        <v>491</v>
      </c>
      <c r="E8" s="7" t="s">
        <v>12</v>
      </c>
      <c r="F8" s="10" t="s">
        <v>501</v>
      </c>
      <c r="G8" s="1">
        <v>30181</v>
      </c>
      <c r="H8" s="7" t="s">
        <v>15</v>
      </c>
      <c r="I8" s="10">
        <v>44186</v>
      </c>
      <c r="J8" t="s">
        <v>38</v>
      </c>
      <c r="K8" s="7" t="s">
        <v>32</v>
      </c>
      <c r="L8" t="s">
        <v>15</v>
      </c>
      <c r="M8" s="7" t="s">
        <v>16</v>
      </c>
      <c r="N8" s="7" t="s">
        <v>17</v>
      </c>
      <c r="O8" s="7" t="s">
        <v>18</v>
      </c>
      <c r="P8" s="7" t="s">
        <v>310</v>
      </c>
      <c r="Q8" s="7" t="s">
        <v>469</v>
      </c>
      <c r="R8" s="11">
        <v>1314373</v>
      </c>
      <c r="S8" s="7" t="str">
        <f t="shared" si="0"/>
        <v>Senior</v>
      </c>
      <c r="T8" s="7">
        <v>3.1</v>
      </c>
      <c r="U8" s="3">
        <f>Engagement_Pulse_Survey[[#This Row],[Engagement Score]]/4</f>
        <v>3</v>
      </c>
      <c r="V8" s="7">
        <v>5</v>
      </c>
      <c r="W8" s="12">
        <v>0.96</v>
      </c>
      <c r="X8" s="12">
        <v>0.09</v>
      </c>
      <c r="Y8" s="7" t="s">
        <v>527</v>
      </c>
    </row>
    <row r="9" spans="1:25" x14ac:dyDescent="0.25">
      <c r="A9" s="7" t="s">
        <v>39</v>
      </c>
      <c r="B9" t="s">
        <v>597</v>
      </c>
      <c r="C9" s="7">
        <v>40</v>
      </c>
      <c r="D9" s="10" t="s">
        <v>491</v>
      </c>
      <c r="E9" s="7" t="s">
        <v>20</v>
      </c>
      <c r="F9" s="10" t="s">
        <v>496</v>
      </c>
      <c r="G9" s="1">
        <v>31113</v>
      </c>
      <c r="H9" s="7" t="s">
        <v>41</v>
      </c>
      <c r="I9" s="10">
        <v>44873</v>
      </c>
      <c r="J9" t="s">
        <v>38</v>
      </c>
      <c r="K9" s="7" t="s">
        <v>40</v>
      </c>
      <c r="L9" t="s">
        <v>41</v>
      </c>
      <c r="M9" s="7" t="s">
        <v>16</v>
      </c>
      <c r="N9" s="7" t="s">
        <v>29</v>
      </c>
      <c r="O9" s="7" t="s">
        <v>18</v>
      </c>
      <c r="P9" s="7" t="s">
        <v>310</v>
      </c>
      <c r="Q9" s="7" t="s">
        <v>471</v>
      </c>
      <c r="R9" s="11">
        <v>306964</v>
      </c>
      <c r="S9" s="7" t="str">
        <f t="shared" si="0"/>
        <v>Entry</v>
      </c>
      <c r="T9" s="7">
        <v>3</v>
      </c>
      <c r="U9" s="3">
        <f>Engagement_Pulse_Survey[[#This Row],[Engagement Score]]/4</f>
        <v>3</v>
      </c>
      <c r="V9" s="7">
        <v>4</v>
      </c>
      <c r="W9" s="12">
        <v>0.82</v>
      </c>
      <c r="X9" s="12">
        <v>0.06</v>
      </c>
      <c r="Y9" s="7" t="s">
        <v>527</v>
      </c>
    </row>
    <row r="10" spans="1:25" x14ac:dyDescent="0.25">
      <c r="A10" s="7" t="s">
        <v>42</v>
      </c>
      <c r="B10" t="s">
        <v>598</v>
      </c>
      <c r="C10" s="7">
        <v>39</v>
      </c>
      <c r="D10" s="10" t="s">
        <v>491</v>
      </c>
      <c r="E10" s="7" t="s">
        <v>12</v>
      </c>
      <c r="F10" s="10" t="s">
        <v>502</v>
      </c>
      <c r="G10" s="1">
        <v>31726</v>
      </c>
      <c r="H10" s="7" t="s">
        <v>44</v>
      </c>
      <c r="I10" s="10">
        <v>45128</v>
      </c>
      <c r="J10" t="s">
        <v>43</v>
      </c>
      <c r="K10" s="7" t="s">
        <v>22</v>
      </c>
      <c r="L10" t="s">
        <v>44</v>
      </c>
      <c r="M10" s="7" t="s">
        <v>16</v>
      </c>
      <c r="N10" s="7" t="s">
        <v>29</v>
      </c>
      <c r="O10" s="7" t="s">
        <v>18</v>
      </c>
      <c r="P10" s="7" t="s">
        <v>310</v>
      </c>
      <c r="Q10" s="7" t="s">
        <v>466</v>
      </c>
      <c r="R10" s="11">
        <v>493011</v>
      </c>
      <c r="S10" s="7" t="str">
        <f t="shared" si="0"/>
        <v>Entry</v>
      </c>
      <c r="T10" s="7">
        <v>4.4000000000000004</v>
      </c>
      <c r="U10" s="3">
        <f>Engagement_Pulse_Survey[[#This Row],[Engagement Score]]/4</f>
        <v>2.25</v>
      </c>
      <c r="V10" s="7">
        <v>3</v>
      </c>
      <c r="W10" s="12">
        <v>0.78</v>
      </c>
      <c r="X10" s="12">
        <v>0.11</v>
      </c>
      <c r="Y10" s="7" t="s">
        <v>527</v>
      </c>
    </row>
    <row r="11" spans="1:25" x14ac:dyDescent="0.25">
      <c r="A11" s="7" t="s">
        <v>45</v>
      </c>
      <c r="B11" t="s">
        <v>599</v>
      </c>
      <c r="C11" s="7">
        <v>31</v>
      </c>
      <c r="D11" s="10" t="s">
        <v>492</v>
      </c>
      <c r="E11" s="7" t="s">
        <v>20</v>
      </c>
      <c r="F11" s="10" t="s">
        <v>503</v>
      </c>
      <c r="G11" s="1">
        <v>34725</v>
      </c>
      <c r="H11" s="7" t="s">
        <v>46</v>
      </c>
      <c r="I11" s="10">
        <v>44730</v>
      </c>
      <c r="J11" t="s">
        <v>34</v>
      </c>
      <c r="K11" s="7" t="s">
        <v>14</v>
      </c>
      <c r="L11" t="s">
        <v>46</v>
      </c>
      <c r="M11" s="7" t="s">
        <v>16</v>
      </c>
      <c r="N11" s="7" t="s">
        <v>36</v>
      </c>
      <c r="O11" s="7" t="s">
        <v>18</v>
      </c>
      <c r="P11" s="7" t="s">
        <v>310</v>
      </c>
      <c r="Q11" s="7" t="s">
        <v>470</v>
      </c>
      <c r="R11" s="11">
        <v>1109368</v>
      </c>
      <c r="S11" s="7" t="str">
        <f t="shared" si="0"/>
        <v>Mid</v>
      </c>
      <c r="T11" s="7">
        <v>4.4000000000000004</v>
      </c>
      <c r="U11" s="3">
        <f>Engagement_Pulse_Survey[[#This Row],[Engagement Score]]/4</f>
        <v>3.5</v>
      </c>
      <c r="V11" s="7">
        <v>5</v>
      </c>
      <c r="W11" s="12">
        <v>0.7</v>
      </c>
      <c r="X11" s="12">
        <v>0.08</v>
      </c>
      <c r="Y11" s="7" t="s">
        <v>527</v>
      </c>
    </row>
    <row r="12" spans="1:25" x14ac:dyDescent="0.25">
      <c r="A12" s="7" t="s">
        <v>47</v>
      </c>
      <c r="B12" t="s">
        <v>600</v>
      </c>
      <c r="C12" s="7">
        <v>27</v>
      </c>
      <c r="D12" s="10" t="s">
        <v>492</v>
      </c>
      <c r="E12" s="7" t="s">
        <v>12</v>
      </c>
      <c r="F12" s="10" t="s">
        <v>495</v>
      </c>
      <c r="G12" s="1">
        <v>36127</v>
      </c>
      <c r="H12" s="7" t="s">
        <v>23</v>
      </c>
      <c r="I12" s="10">
        <v>45158</v>
      </c>
      <c r="J12" t="s">
        <v>43</v>
      </c>
      <c r="K12" s="7" t="s">
        <v>14</v>
      </c>
      <c r="L12" t="s">
        <v>23</v>
      </c>
      <c r="M12" s="7" t="s">
        <v>16</v>
      </c>
      <c r="N12" s="7" t="s">
        <v>36</v>
      </c>
      <c r="O12" s="7" t="s">
        <v>18</v>
      </c>
      <c r="P12" s="7" t="s">
        <v>310</v>
      </c>
      <c r="Q12" s="7" t="s">
        <v>468</v>
      </c>
      <c r="R12" s="11">
        <v>951502</v>
      </c>
      <c r="S12" s="7" t="str">
        <f t="shared" si="0"/>
        <v>Mid</v>
      </c>
      <c r="T12" s="7">
        <v>4.5</v>
      </c>
      <c r="U12" s="3">
        <f>Engagement_Pulse_Survey[[#This Row],[Engagement Score]]/4</f>
        <v>4</v>
      </c>
      <c r="V12" s="7">
        <v>4</v>
      </c>
      <c r="W12" s="12">
        <v>0.94000000000000006</v>
      </c>
      <c r="X12" s="12">
        <v>0.13</v>
      </c>
      <c r="Y12" s="7" t="s">
        <v>527</v>
      </c>
    </row>
    <row r="13" spans="1:25" x14ac:dyDescent="0.25">
      <c r="A13" s="7" t="s">
        <v>48</v>
      </c>
      <c r="B13" t="s">
        <v>601</v>
      </c>
      <c r="C13" s="7">
        <v>29</v>
      </c>
      <c r="D13" s="10" t="s">
        <v>492</v>
      </c>
      <c r="E13" s="7" t="s">
        <v>20</v>
      </c>
      <c r="F13" s="10" t="s">
        <v>504</v>
      </c>
      <c r="G13" s="1">
        <v>35431</v>
      </c>
      <c r="H13" s="7" t="s">
        <v>49</v>
      </c>
      <c r="I13" s="10">
        <v>44375</v>
      </c>
      <c r="J13" t="s">
        <v>38</v>
      </c>
      <c r="K13" s="7" t="s">
        <v>25</v>
      </c>
      <c r="L13" t="s">
        <v>49</v>
      </c>
      <c r="M13" s="7" t="s">
        <v>16</v>
      </c>
      <c r="N13" s="7" t="s">
        <v>29</v>
      </c>
      <c r="O13" s="7" t="s">
        <v>18</v>
      </c>
      <c r="P13" s="7" t="s">
        <v>310</v>
      </c>
      <c r="Q13" s="7" t="s">
        <v>472</v>
      </c>
      <c r="R13" s="11">
        <v>536804</v>
      </c>
      <c r="S13" s="7" t="str">
        <f t="shared" si="0"/>
        <v>Junior</v>
      </c>
      <c r="T13" s="7">
        <v>3.8</v>
      </c>
      <c r="U13" s="3">
        <f>Engagement_Pulse_Survey[[#This Row],[Engagement Score]]/4</f>
        <v>2.75</v>
      </c>
      <c r="V13" s="3">
        <v>4</v>
      </c>
      <c r="W13" s="12">
        <v>0.94000000000000006</v>
      </c>
      <c r="X13" s="12">
        <v>0.05</v>
      </c>
      <c r="Y13" s="7" t="s">
        <v>528</v>
      </c>
    </row>
    <row r="14" spans="1:25" x14ac:dyDescent="0.25">
      <c r="A14" s="7" t="s">
        <v>50</v>
      </c>
      <c r="B14" t="s">
        <v>602</v>
      </c>
      <c r="C14" s="7">
        <v>28</v>
      </c>
      <c r="D14" s="10" t="s">
        <v>492</v>
      </c>
      <c r="E14" s="7" t="s">
        <v>12</v>
      </c>
      <c r="F14" s="10" t="s">
        <v>505</v>
      </c>
      <c r="G14" s="1">
        <v>35480</v>
      </c>
      <c r="H14" s="7" t="s">
        <v>35</v>
      </c>
      <c r="I14" s="10">
        <v>44779</v>
      </c>
      <c r="J14" t="s">
        <v>21</v>
      </c>
      <c r="K14" s="7" t="s">
        <v>40</v>
      </c>
      <c r="L14" t="s">
        <v>35</v>
      </c>
      <c r="M14" s="7" t="s">
        <v>16</v>
      </c>
      <c r="N14" s="7" t="s">
        <v>29</v>
      </c>
      <c r="O14" s="7" t="s">
        <v>18</v>
      </c>
      <c r="P14" s="7" t="s">
        <v>310</v>
      </c>
      <c r="Q14" s="7" t="s">
        <v>473</v>
      </c>
      <c r="R14" s="11">
        <v>446688</v>
      </c>
      <c r="S14" s="7" t="str">
        <f t="shared" si="0"/>
        <v>Entry</v>
      </c>
      <c r="T14" s="7">
        <v>4</v>
      </c>
      <c r="U14" s="3">
        <f>Engagement_Pulse_Survey[[#This Row],[Engagement Score]]/4</f>
        <v>3.5</v>
      </c>
      <c r="V14" s="7">
        <v>3</v>
      </c>
      <c r="W14" s="12">
        <v>0.88000000000000012</v>
      </c>
      <c r="X14" s="12">
        <v>0.12</v>
      </c>
      <c r="Y14" s="7" t="s">
        <v>528</v>
      </c>
    </row>
    <row r="15" spans="1:25" x14ac:dyDescent="0.25">
      <c r="A15" s="7" t="s">
        <v>51</v>
      </c>
      <c r="B15" t="s">
        <v>603</v>
      </c>
      <c r="C15" s="7">
        <v>32</v>
      </c>
      <c r="D15" s="10" t="s">
        <v>492</v>
      </c>
      <c r="E15" s="7" t="s">
        <v>12</v>
      </c>
      <c r="F15" s="10" t="s">
        <v>506</v>
      </c>
      <c r="G15" s="1">
        <v>34163</v>
      </c>
      <c r="H15" s="7" t="s">
        <v>41</v>
      </c>
      <c r="I15" s="10">
        <v>44948</v>
      </c>
      <c r="J15" t="s">
        <v>38</v>
      </c>
      <c r="K15" s="7" t="s">
        <v>52</v>
      </c>
      <c r="L15" t="s">
        <v>41</v>
      </c>
      <c r="M15" s="7" t="s">
        <v>16</v>
      </c>
      <c r="N15" s="7" t="s">
        <v>17</v>
      </c>
      <c r="O15" s="7" t="s">
        <v>18</v>
      </c>
      <c r="P15" s="7" t="s">
        <v>310</v>
      </c>
      <c r="Q15" s="7" t="s">
        <v>472</v>
      </c>
      <c r="R15" s="11">
        <v>570320</v>
      </c>
      <c r="S15" s="7" t="str">
        <f t="shared" si="0"/>
        <v>Junior</v>
      </c>
      <c r="T15" s="7">
        <v>4.8</v>
      </c>
      <c r="U15" s="3">
        <f>Engagement_Pulse_Survey[[#This Row],[Engagement Score]]/4</f>
        <v>2.75</v>
      </c>
      <c r="V15" s="7">
        <v>4</v>
      </c>
      <c r="W15" s="12">
        <v>0.6</v>
      </c>
      <c r="X15" s="12">
        <v>7.0000000000000007E-2</v>
      </c>
      <c r="Y15" s="7" t="s">
        <v>528</v>
      </c>
    </row>
    <row r="16" spans="1:25" x14ac:dyDescent="0.25">
      <c r="A16" s="7" t="s">
        <v>53</v>
      </c>
      <c r="B16" t="s">
        <v>604</v>
      </c>
      <c r="C16" s="7">
        <v>38</v>
      </c>
      <c r="D16" s="10" t="s">
        <v>491</v>
      </c>
      <c r="E16" s="7" t="s">
        <v>12</v>
      </c>
      <c r="F16" s="10" t="s">
        <v>507</v>
      </c>
      <c r="G16" s="1">
        <v>31926</v>
      </c>
      <c r="H16" s="7" t="s">
        <v>26</v>
      </c>
      <c r="I16" s="10">
        <v>44843</v>
      </c>
      <c r="J16" t="s">
        <v>13</v>
      </c>
      <c r="K16" s="7" t="s">
        <v>14</v>
      </c>
      <c r="L16" t="s">
        <v>26</v>
      </c>
      <c r="M16" s="7" t="s">
        <v>16</v>
      </c>
      <c r="N16" s="7" t="s">
        <v>36</v>
      </c>
      <c r="O16" s="7" t="s">
        <v>18</v>
      </c>
      <c r="P16" s="7" t="s">
        <v>310</v>
      </c>
      <c r="Q16" s="7" t="s">
        <v>470</v>
      </c>
      <c r="R16" s="11">
        <v>471927</v>
      </c>
      <c r="S16" s="7" t="str">
        <f t="shared" si="0"/>
        <v>Entry</v>
      </c>
      <c r="T16" s="7">
        <v>3.3</v>
      </c>
      <c r="U16" s="3">
        <f>Engagement_Pulse_Survey[[#This Row],[Engagement Score]]/4</f>
        <v>3.25</v>
      </c>
      <c r="V16" s="7">
        <v>4</v>
      </c>
      <c r="W16" s="12">
        <v>1</v>
      </c>
      <c r="X16" s="12">
        <v>0.1</v>
      </c>
      <c r="Y16" s="7" t="s">
        <v>527</v>
      </c>
    </row>
    <row r="17" spans="1:25" x14ac:dyDescent="0.25">
      <c r="A17" s="7" t="s">
        <v>54</v>
      </c>
      <c r="B17" t="s">
        <v>605</v>
      </c>
      <c r="C17" s="7">
        <v>41</v>
      </c>
      <c r="D17" s="10" t="s">
        <v>491</v>
      </c>
      <c r="E17" s="7" t="s">
        <v>12</v>
      </c>
      <c r="F17" s="10" t="s">
        <v>500</v>
      </c>
      <c r="G17" s="1">
        <v>31052</v>
      </c>
      <c r="H17" s="7" t="s">
        <v>49</v>
      </c>
      <c r="I17" s="10">
        <v>43895</v>
      </c>
      <c r="J17" t="s">
        <v>38</v>
      </c>
      <c r="K17" s="7" t="s">
        <v>40</v>
      </c>
      <c r="L17" t="s">
        <v>49</v>
      </c>
      <c r="M17" s="7" t="s">
        <v>16</v>
      </c>
      <c r="N17" s="7" t="s">
        <v>17</v>
      </c>
      <c r="O17" s="7" t="s">
        <v>18</v>
      </c>
      <c r="P17" s="7" t="s">
        <v>310</v>
      </c>
      <c r="Q17" s="7" t="s">
        <v>470</v>
      </c>
      <c r="R17" s="11">
        <v>1229418</v>
      </c>
      <c r="S17" s="7" t="str">
        <f t="shared" si="0"/>
        <v>Senior</v>
      </c>
      <c r="T17" s="7">
        <v>4.3</v>
      </c>
      <c r="U17" s="3">
        <f>Engagement_Pulse_Survey[[#This Row],[Engagement Score]]/4</f>
        <v>3</v>
      </c>
      <c r="V17" s="7">
        <v>4</v>
      </c>
      <c r="W17" s="12">
        <v>0.72</v>
      </c>
      <c r="X17" s="12">
        <v>0.1</v>
      </c>
      <c r="Y17" s="7" t="s">
        <v>527</v>
      </c>
    </row>
    <row r="18" spans="1:25" x14ac:dyDescent="0.25">
      <c r="A18" s="7" t="s">
        <v>55</v>
      </c>
      <c r="B18" t="s">
        <v>606</v>
      </c>
      <c r="C18" s="7">
        <v>26</v>
      </c>
      <c r="D18" s="10" t="s">
        <v>492</v>
      </c>
      <c r="E18" s="7" t="s">
        <v>20</v>
      </c>
      <c r="F18" s="10" t="s">
        <v>507</v>
      </c>
      <c r="G18" s="1">
        <v>36503</v>
      </c>
      <c r="H18" s="7" t="s">
        <v>23</v>
      </c>
      <c r="I18" s="10">
        <v>44858</v>
      </c>
      <c r="J18" t="s">
        <v>56</v>
      </c>
      <c r="K18" s="7" t="s">
        <v>57</v>
      </c>
      <c r="L18" t="s">
        <v>23</v>
      </c>
      <c r="M18" s="7" t="s">
        <v>16</v>
      </c>
      <c r="N18" s="7" t="s">
        <v>29</v>
      </c>
      <c r="O18" s="7" t="s">
        <v>18</v>
      </c>
      <c r="P18" s="7" t="s">
        <v>310</v>
      </c>
      <c r="Q18" s="7" t="s">
        <v>468</v>
      </c>
      <c r="R18" s="11">
        <v>505969</v>
      </c>
      <c r="S18" s="7" t="str">
        <f t="shared" si="0"/>
        <v>Junior</v>
      </c>
      <c r="T18" s="7">
        <v>3.9</v>
      </c>
      <c r="U18" s="3">
        <f>Engagement_Pulse_Survey[[#This Row],[Engagement Score]]/4</f>
        <v>2.5</v>
      </c>
      <c r="V18" s="7">
        <v>4</v>
      </c>
      <c r="W18" s="12">
        <v>0.72</v>
      </c>
      <c r="X18" s="12">
        <v>0.12</v>
      </c>
      <c r="Y18" s="7" t="s">
        <v>528</v>
      </c>
    </row>
    <row r="19" spans="1:25" x14ac:dyDescent="0.25">
      <c r="A19" s="7" t="s">
        <v>58</v>
      </c>
      <c r="B19" t="s">
        <v>607</v>
      </c>
      <c r="C19" s="7">
        <v>33</v>
      </c>
      <c r="D19" s="10" t="s">
        <v>492</v>
      </c>
      <c r="E19" s="7" t="s">
        <v>20</v>
      </c>
      <c r="F19" s="10" t="s">
        <v>508</v>
      </c>
      <c r="G19" s="1">
        <v>33871</v>
      </c>
      <c r="H19" s="7" t="s">
        <v>46</v>
      </c>
      <c r="I19" s="10">
        <v>44198</v>
      </c>
      <c r="J19" t="s">
        <v>13</v>
      </c>
      <c r="K19" s="7" t="s">
        <v>32</v>
      </c>
      <c r="L19" t="s">
        <v>46</v>
      </c>
      <c r="M19" s="7" t="s">
        <v>16</v>
      </c>
      <c r="N19" s="7" t="s">
        <v>36</v>
      </c>
      <c r="O19" s="7" t="s">
        <v>18</v>
      </c>
      <c r="P19" s="7" t="s">
        <v>310</v>
      </c>
      <c r="Q19" s="7" t="s">
        <v>471</v>
      </c>
      <c r="R19" s="11">
        <v>953824</v>
      </c>
      <c r="S19" s="7" t="str">
        <f t="shared" si="0"/>
        <v>Mid</v>
      </c>
      <c r="T19" s="7">
        <v>4.9000000000000004</v>
      </c>
      <c r="U19" s="3">
        <f>Engagement_Pulse_Survey[[#This Row],[Engagement Score]]/4</f>
        <v>3.75</v>
      </c>
      <c r="V19" s="7">
        <v>3</v>
      </c>
      <c r="W19" s="12">
        <v>0.86</v>
      </c>
      <c r="X19" s="12">
        <v>0.08</v>
      </c>
      <c r="Y19" s="7" t="s">
        <v>527</v>
      </c>
    </row>
    <row r="20" spans="1:25" x14ac:dyDescent="0.25">
      <c r="A20" s="7" t="s">
        <v>59</v>
      </c>
      <c r="B20" t="s">
        <v>608</v>
      </c>
      <c r="C20" s="7">
        <v>34</v>
      </c>
      <c r="D20" s="10" t="s">
        <v>492</v>
      </c>
      <c r="E20" s="7" t="s">
        <v>12</v>
      </c>
      <c r="F20" s="10" t="s">
        <v>506</v>
      </c>
      <c r="G20" s="1">
        <v>33457</v>
      </c>
      <c r="H20" s="7" t="s">
        <v>44</v>
      </c>
      <c r="I20" s="10">
        <v>44937</v>
      </c>
      <c r="J20" t="s">
        <v>31</v>
      </c>
      <c r="K20" s="7" t="s">
        <v>40</v>
      </c>
      <c r="L20" t="s">
        <v>44</v>
      </c>
      <c r="M20" s="7" t="s">
        <v>16</v>
      </c>
      <c r="N20" s="7" t="s">
        <v>36</v>
      </c>
      <c r="O20" s="7" t="s">
        <v>18</v>
      </c>
      <c r="P20" s="7" t="s">
        <v>310</v>
      </c>
      <c r="Q20" s="7" t="s">
        <v>471</v>
      </c>
      <c r="R20" s="11">
        <v>1190272</v>
      </c>
      <c r="S20" s="7" t="str">
        <f t="shared" si="0"/>
        <v>Mid</v>
      </c>
      <c r="T20" s="7">
        <v>3</v>
      </c>
      <c r="U20" s="3">
        <f>Engagement_Pulse_Survey[[#This Row],[Engagement Score]]/4</f>
        <v>3.5</v>
      </c>
      <c r="V20" s="7">
        <v>4</v>
      </c>
      <c r="W20" s="12">
        <v>0.86</v>
      </c>
      <c r="X20" s="12">
        <v>0.15</v>
      </c>
      <c r="Y20" s="7" t="s">
        <v>528</v>
      </c>
    </row>
    <row r="21" spans="1:25" x14ac:dyDescent="0.25">
      <c r="A21" s="7" t="s">
        <v>60</v>
      </c>
      <c r="B21" t="s">
        <v>609</v>
      </c>
      <c r="C21" s="7">
        <v>40</v>
      </c>
      <c r="D21" s="10" t="s">
        <v>491</v>
      </c>
      <c r="E21" s="7" t="s">
        <v>12</v>
      </c>
      <c r="F21" s="10" t="s">
        <v>509</v>
      </c>
      <c r="G21" s="1">
        <v>31411</v>
      </c>
      <c r="H21" s="7" t="s">
        <v>46</v>
      </c>
      <c r="I21" s="10">
        <v>44260</v>
      </c>
      <c r="J21" t="s">
        <v>31</v>
      </c>
      <c r="K21" s="7" t="s">
        <v>22</v>
      </c>
      <c r="L21" t="s">
        <v>46</v>
      </c>
      <c r="M21" s="7" t="s">
        <v>27</v>
      </c>
      <c r="N21" s="7" t="s">
        <v>36</v>
      </c>
      <c r="O21" s="7" t="s">
        <v>18</v>
      </c>
      <c r="P21" s="7" t="s">
        <v>310</v>
      </c>
      <c r="Q21" s="7" t="s">
        <v>472</v>
      </c>
      <c r="R21" s="11">
        <v>1436662</v>
      </c>
      <c r="S21" s="7" t="str">
        <f t="shared" si="0"/>
        <v>Senior</v>
      </c>
      <c r="T21" s="7">
        <v>4.4000000000000004</v>
      </c>
      <c r="U21" s="3">
        <f>Engagement_Pulse_Survey[[#This Row],[Engagement Score]]/4</f>
        <v>3</v>
      </c>
      <c r="V21" s="7">
        <v>4</v>
      </c>
      <c r="W21" s="12">
        <v>0.72</v>
      </c>
      <c r="X21" s="12">
        <v>7.0000000000000007E-2</v>
      </c>
      <c r="Y21" s="7" t="s">
        <v>527</v>
      </c>
    </row>
    <row r="22" spans="1:25" x14ac:dyDescent="0.25">
      <c r="A22" s="7" t="s">
        <v>61</v>
      </c>
      <c r="B22" t="s">
        <v>610</v>
      </c>
      <c r="C22" s="7">
        <v>44</v>
      </c>
      <c r="D22" s="10" t="s">
        <v>491</v>
      </c>
      <c r="E22" s="7" t="s">
        <v>12</v>
      </c>
      <c r="F22" s="10" t="s">
        <v>501</v>
      </c>
      <c r="G22" s="1">
        <v>29937</v>
      </c>
      <c r="H22" s="7" t="s">
        <v>41</v>
      </c>
      <c r="I22" s="10">
        <v>44169</v>
      </c>
      <c r="J22" t="s">
        <v>13</v>
      </c>
      <c r="K22" s="7" t="s">
        <v>25</v>
      </c>
      <c r="L22" t="s">
        <v>41</v>
      </c>
      <c r="M22" s="7" t="s">
        <v>27</v>
      </c>
      <c r="N22" s="7" t="s">
        <v>17</v>
      </c>
      <c r="O22" s="7" t="s">
        <v>18</v>
      </c>
      <c r="P22" s="7" t="s">
        <v>310</v>
      </c>
      <c r="Q22" s="7" t="s">
        <v>472</v>
      </c>
      <c r="R22" s="11">
        <v>428795</v>
      </c>
      <c r="S22" s="7" t="str">
        <f t="shared" si="0"/>
        <v>Entry</v>
      </c>
      <c r="T22" s="7">
        <v>3</v>
      </c>
      <c r="U22" s="3">
        <f>Engagement_Pulse_Survey[[#This Row],[Engagement Score]]/4</f>
        <v>3.75</v>
      </c>
      <c r="V22" s="7">
        <v>5</v>
      </c>
      <c r="W22" s="12">
        <v>0.74</v>
      </c>
      <c r="X22" s="12">
        <v>0.14000000000000001</v>
      </c>
      <c r="Y22" s="7" t="s">
        <v>528</v>
      </c>
    </row>
    <row r="23" spans="1:25" x14ac:dyDescent="0.25">
      <c r="A23" s="7" t="s">
        <v>62</v>
      </c>
      <c r="B23" t="s">
        <v>611</v>
      </c>
      <c r="C23" s="7">
        <v>42</v>
      </c>
      <c r="D23" s="10" t="s">
        <v>491</v>
      </c>
      <c r="E23" s="7" t="s">
        <v>12</v>
      </c>
      <c r="F23" s="10" t="s">
        <v>510</v>
      </c>
      <c r="G23" s="1">
        <v>30424</v>
      </c>
      <c r="H23" s="7" t="s">
        <v>26</v>
      </c>
      <c r="I23" s="10">
        <v>44017</v>
      </c>
      <c r="J23" t="s">
        <v>21</v>
      </c>
      <c r="K23" s="7" t="s">
        <v>57</v>
      </c>
      <c r="L23" t="s">
        <v>26</v>
      </c>
      <c r="M23" s="7" t="s">
        <v>16</v>
      </c>
      <c r="N23" s="7" t="s">
        <v>17</v>
      </c>
      <c r="O23" s="7" t="s">
        <v>18</v>
      </c>
      <c r="P23" s="7" t="s">
        <v>310</v>
      </c>
      <c r="Q23" s="7" t="s">
        <v>470</v>
      </c>
      <c r="R23" s="11">
        <v>1069142</v>
      </c>
      <c r="S23" s="7" t="str">
        <f t="shared" si="0"/>
        <v>Mid</v>
      </c>
      <c r="T23" s="7">
        <v>4</v>
      </c>
      <c r="U23" s="3">
        <f>Engagement_Pulse_Survey[[#This Row],[Engagement Score]]/4</f>
        <v>2.75</v>
      </c>
      <c r="V23" s="7">
        <v>5</v>
      </c>
      <c r="W23" s="12">
        <v>0.98000000000000009</v>
      </c>
      <c r="X23" s="12">
        <v>0.09</v>
      </c>
      <c r="Y23" s="7" t="s">
        <v>528</v>
      </c>
    </row>
    <row r="24" spans="1:25" x14ac:dyDescent="0.25">
      <c r="A24" s="7" t="s">
        <v>63</v>
      </c>
      <c r="B24" t="s">
        <v>612</v>
      </c>
      <c r="C24" s="7">
        <v>24</v>
      </c>
      <c r="D24" s="10" t="s">
        <v>493</v>
      </c>
      <c r="E24" s="7" t="s">
        <v>12</v>
      </c>
      <c r="F24" s="10" t="s">
        <v>507</v>
      </c>
      <c r="G24" s="1">
        <v>37154</v>
      </c>
      <c r="H24" s="7" t="s">
        <v>44</v>
      </c>
      <c r="I24" s="10">
        <v>44860</v>
      </c>
      <c r="J24" t="s">
        <v>21</v>
      </c>
      <c r="K24" s="7" t="s">
        <v>57</v>
      </c>
      <c r="L24" t="s">
        <v>44</v>
      </c>
      <c r="M24" s="7" t="s">
        <v>16</v>
      </c>
      <c r="N24" s="7" t="s">
        <v>29</v>
      </c>
      <c r="O24" s="7" t="s">
        <v>18</v>
      </c>
      <c r="P24" s="7" t="s">
        <v>310</v>
      </c>
      <c r="Q24" s="7" t="s">
        <v>468</v>
      </c>
      <c r="R24" s="11">
        <v>1399272</v>
      </c>
      <c r="S24" s="7" t="str">
        <f t="shared" si="0"/>
        <v>Senior</v>
      </c>
      <c r="T24" s="7">
        <v>4.3</v>
      </c>
      <c r="U24" s="3">
        <f>Engagement_Pulse_Survey[[#This Row],[Engagement Score]]/4</f>
        <v>3.25</v>
      </c>
      <c r="V24" s="7">
        <v>4</v>
      </c>
      <c r="W24" s="12">
        <v>0.72</v>
      </c>
      <c r="X24" s="12">
        <v>0.06</v>
      </c>
      <c r="Y24" s="7" t="s">
        <v>528</v>
      </c>
    </row>
    <row r="25" spans="1:25" x14ac:dyDescent="0.25">
      <c r="A25" s="7" t="s">
        <v>64</v>
      </c>
      <c r="B25" t="s">
        <v>613</v>
      </c>
      <c r="C25" s="7">
        <v>34</v>
      </c>
      <c r="D25" s="10" t="s">
        <v>492</v>
      </c>
      <c r="E25" s="7" t="s">
        <v>20</v>
      </c>
      <c r="F25" s="10" t="s">
        <v>508</v>
      </c>
      <c r="G25" s="1">
        <v>33617</v>
      </c>
      <c r="H25" s="7" t="s">
        <v>44</v>
      </c>
      <c r="I25" s="10">
        <v>44224</v>
      </c>
      <c r="J25" t="s">
        <v>31</v>
      </c>
      <c r="K25" s="7" t="s">
        <v>22</v>
      </c>
      <c r="L25" t="s">
        <v>44</v>
      </c>
      <c r="M25" s="7" t="s">
        <v>16</v>
      </c>
      <c r="N25" s="7" t="s">
        <v>36</v>
      </c>
      <c r="O25" s="7" t="s">
        <v>18</v>
      </c>
      <c r="P25" s="7" t="s">
        <v>310</v>
      </c>
      <c r="Q25" s="7" t="s">
        <v>470</v>
      </c>
      <c r="R25" s="11">
        <v>474051</v>
      </c>
      <c r="S25" s="7" t="str">
        <f t="shared" si="0"/>
        <v>Entry</v>
      </c>
      <c r="T25" s="7">
        <v>3.8</v>
      </c>
      <c r="U25" s="3">
        <f>Engagement_Pulse_Survey[[#This Row],[Engagement Score]]/4</f>
        <v>3.25</v>
      </c>
      <c r="V25" s="7">
        <v>4</v>
      </c>
      <c r="W25" s="12">
        <v>0.88000000000000012</v>
      </c>
      <c r="X25" s="12">
        <v>0.11</v>
      </c>
      <c r="Y25" s="7" t="s">
        <v>527</v>
      </c>
    </row>
    <row r="26" spans="1:25" x14ac:dyDescent="0.25">
      <c r="A26" s="7" t="s">
        <v>65</v>
      </c>
      <c r="B26" t="s">
        <v>614</v>
      </c>
      <c r="C26" s="7">
        <v>32</v>
      </c>
      <c r="D26" s="10" t="s">
        <v>492</v>
      </c>
      <c r="E26" s="7" t="s">
        <v>20</v>
      </c>
      <c r="F26" s="10" t="s">
        <v>511</v>
      </c>
      <c r="G26" s="1">
        <v>34054</v>
      </c>
      <c r="H26" s="7" t="s">
        <v>15</v>
      </c>
      <c r="I26" s="10">
        <v>45036</v>
      </c>
      <c r="J26" t="s">
        <v>21</v>
      </c>
      <c r="K26" s="7" t="s">
        <v>40</v>
      </c>
      <c r="L26" t="s">
        <v>15</v>
      </c>
      <c r="M26" s="7" t="s">
        <v>16</v>
      </c>
      <c r="N26" s="7" t="s">
        <v>36</v>
      </c>
      <c r="O26" s="7" t="s">
        <v>18</v>
      </c>
      <c r="P26" s="7" t="s">
        <v>310</v>
      </c>
      <c r="Q26" s="7" t="s">
        <v>472</v>
      </c>
      <c r="R26" s="11">
        <v>950124</v>
      </c>
      <c r="S26" s="7" t="str">
        <f t="shared" si="0"/>
        <v>Mid</v>
      </c>
      <c r="T26" s="7">
        <v>3.7</v>
      </c>
      <c r="U26" s="3">
        <f>Engagement_Pulse_Survey[[#This Row],[Engagement Score]]/4</f>
        <v>2.75</v>
      </c>
      <c r="V26" s="7">
        <v>4</v>
      </c>
      <c r="W26" s="12">
        <v>0.91999999999999993</v>
      </c>
      <c r="X26" s="12">
        <v>0.08</v>
      </c>
      <c r="Y26" s="7" t="s">
        <v>527</v>
      </c>
    </row>
    <row r="27" spans="1:25" x14ac:dyDescent="0.25">
      <c r="A27" s="7" t="s">
        <v>66</v>
      </c>
      <c r="B27" t="s">
        <v>615</v>
      </c>
      <c r="C27" s="7">
        <v>29</v>
      </c>
      <c r="D27" s="10" t="s">
        <v>492</v>
      </c>
      <c r="E27" s="7" t="s">
        <v>12</v>
      </c>
      <c r="F27" s="10" t="s">
        <v>512</v>
      </c>
      <c r="G27" s="1">
        <v>35309</v>
      </c>
      <c r="H27" s="7" t="s">
        <v>23</v>
      </c>
      <c r="I27" s="10">
        <v>44533</v>
      </c>
      <c r="J27" t="s">
        <v>21</v>
      </c>
      <c r="K27" s="7" t="s">
        <v>32</v>
      </c>
      <c r="L27" t="s">
        <v>23</v>
      </c>
      <c r="M27" s="7" t="s">
        <v>27</v>
      </c>
      <c r="N27" s="7" t="s">
        <v>17</v>
      </c>
      <c r="O27" s="7" t="s">
        <v>18</v>
      </c>
      <c r="P27" s="7" t="s">
        <v>310</v>
      </c>
      <c r="Q27" s="7" t="s">
        <v>473</v>
      </c>
      <c r="R27" s="11">
        <v>1053049</v>
      </c>
      <c r="S27" s="7" t="str">
        <f t="shared" si="0"/>
        <v>Mid</v>
      </c>
      <c r="T27" s="7">
        <v>3.7</v>
      </c>
      <c r="U27" s="3">
        <f>Engagement_Pulse_Survey[[#This Row],[Engagement Score]]/4</f>
        <v>3.5</v>
      </c>
      <c r="V27" s="7">
        <v>3</v>
      </c>
      <c r="W27" s="12">
        <v>1</v>
      </c>
      <c r="X27" s="12">
        <v>0.13</v>
      </c>
      <c r="Y27" s="7" t="s">
        <v>528</v>
      </c>
    </row>
    <row r="28" spans="1:25" x14ac:dyDescent="0.25">
      <c r="A28" s="7" t="s">
        <v>67</v>
      </c>
      <c r="B28" t="s">
        <v>616</v>
      </c>
      <c r="C28" s="7">
        <v>43</v>
      </c>
      <c r="D28" s="10" t="s">
        <v>491</v>
      </c>
      <c r="E28" s="7" t="s">
        <v>20</v>
      </c>
      <c r="F28" s="10" t="s">
        <v>506</v>
      </c>
      <c r="G28" s="1">
        <v>30342</v>
      </c>
      <c r="H28" s="7" t="s">
        <v>35</v>
      </c>
      <c r="I28" s="10">
        <v>44935</v>
      </c>
      <c r="J28" t="s">
        <v>31</v>
      </c>
      <c r="K28" s="7" t="s">
        <v>57</v>
      </c>
      <c r="L28" t="s">
        <v>35</v>
      </c>
      <c r="M28" s="7" t="s">
        <v>27</v>
      </c>
      <c r="N28" s="7" t="s">
        <v>29</v>
      </c>
      <c r="O28" s="7" t="s">
        <v>18</v>
      </c>
      <c r="P28" s="7" t="s">
        <v>310</v>
      </c>
      <c r="Q28" s="7" t="s">
        <v>470</v>
      </c>
      <c r="R28" s="11">
        <v>1435065</v>
      </c>
      <c r="S28" s="7" t="str">
        <f t="shared" si="0"/>
        <v>Senior</v>
      </c>
      <c r="T28" s="7">
        <v>4.5</v>
      </c>
      <c r="U28" s="3">
        <f>Engagement_Pulse_Survey[[#This Row],[Engagement Score]]/4</f>
        <v>2.5</v>
      </c>
      <c r="V28" s="7">
        <v>4</v>
      </c>
      <c r="W28" s="12">
        <v>0.98000000000000009</v>
      </c>
      <c r="X28" s="12">
        <v>0.05</v>
      </c>
      <c r="Y28" s="7" t="s">
        <v>527</v>
      </c>
    </row>
    <row r="29" spans="1:25" x14ac:dyDescent="0.25">
      <c r="A29" s="7" t="s">
        <v>68</v>
      </c>
      <c r="B29" t="s">
        <v>617</v>
      </c>
      <c r="C29" s="7">
        <v>31</v>
      </c>
      <c r="D29" s="10" t="s">
        <v>492</v>
      </c>
      <c r="E29" s="7" t="s">
        <v>20</v>
      </c>
      <c r="F29" s="10" t="s">
        <v>513</v>
      </c>
      <c r="G29" s="1">
        <v>34537</v>
      </c>
      <c r="H29" s="7" t="s">
        <v>35</v>
      </c>
      <c r="I29" s="10">
        <v>44087</v>
      </c>
      <c r="J29" t="s">
        <v>38</v>
      </c>
      <c r="K29" s="7" t="s">
        <v>25</v>
      </c>
      <c r="L29" t="s">
        <v>35</v>
      </c>
      <c r="M29" s="7" t="s">
        <v>27</v>
      </c>
      <c r="N29" s="7" t="s">
        <v>17</v>
      </c>
      <c r="O29" s="7" t="s">
        <v>18</v>
      </c>
      <c r="P29" s="7" t="s">
        <v>310</v>
      </c>
      <c r="Q29" s="7" t="s">
        <v>466</v>
      </c>
      <c r="R29" s="11">
        <v>1159741</v>
      </c>
      <c r="S29" s="7" t="str">
        <f t="shared" si="0"/>
        <v>Mid</v>
      </c>
      <c r="T29" s="7">
        <v>3.5</v>
      </c>
      <c r="U29" s="3">
        <f>Engagement_Pulse_Survey[[#This Row],[Engagement Score]]/4</f>
        <v>4</v>
      </c>
      <c r="V29" s="7">
        <v>5</v>
      </c>
      <c r="W29" s="12">
        <v>0.7</v>
      </c>
      <c r="X29" s="12">
        <v>0.12</v>
      </c>
      <c r="Y29" s="7" t="s">
        <v>527</v>
      </c>
    </row>
    <row r="30" spans="1:25" x14ac:dyDescent="0.25">
      <c r="A30" s="7" t="s">
        <v>69</v>
      </c>
      <c r="B30" t="s">
        <v>618</v>
      </c>
      <c r="C30" s="7">
        <v>43</v>
      </c>
      <c r="D30" s="10" t="s">
        <v>491</v>
      </c>
      <c r="E30" s="7" t="s">
        <v>12</v>
      </c>
      <c r="F30" s="10" t="s">
        <v>514</v>
      </c>
      <c r="G30" s="1">
        <v>30181</v>
      </c>
      <c r="H30" s="7" t="s">
        <v>26</v>
      </c>
      <c r="I30" s="10">
        <v>44529</v>
      </c>
      <c r="J30" t="s">
        <v>38</v>
      </c>
      <c r="K30" s="7" t="s">
        <v>57</v>
      </c>
      <c r="L30" t="s">
        <v>26</v>
      </c>
      <c r="M30" s="7" t="s">
        <v>27</v>
      </c>
      <c r="N30" s="7" t="s">
        <v>36</v>
      </c>
      <c r="O30" s="7" t="s">
        <v>18</v>
      </c>
      <c r="P30" s="7" t="s">
        <v>310</v>
      </c>
      <c r="Q30" s="7" t="s">
        <v>473</v>
      </c>
      <c r="R30" s="11">
        <v>929138</v>
      </c>
      <c r="S30" s="7" t="str">
        <f t="shared" si="0"/>
        <v>Mid</v>
      </c>
      <c r="T30" s="7">
        <v>4.3</v>
      </c>
      <c r="U30" s="3">
        <f>Engagement_Pulse_Survey[[#This Row],[Engagement Score]]/4</f>
        <v>3</v>
      </c>
      <c r="V30" s="7">
        <v>3</v>
      </c>
      <c r="W30" s="12">
        <v>0.86</v>
      </c>
      <c r="X30" s="12">
        <v>7.0000000000000007E-2</v>
      </c>
      <c r="Y30" s="7" t="s">
        <v>528</v>
      </c>
    </row>
    <row r="31" spans="1:25" x14ac:dyDescent="0.25">
      <c r="A31" s="7" t="s">
        <v>70</v>
      </c>
      <c r="B31" t="s">
        <v>619</v>
      </c>
      <c r="C31" s="7">
        <v>35</v>
      </c>
      <c r="D31" s="10" t="s">
        <v>492</v>
      </c>
      <c r="E31" s="7" t="s">
        <v>20</v>
      </c>
      <c r="F31" s="10" t="s">
        <v>501</v>
      </c>
      <c r="G31" s="1">
        <v>33042</v>
      </c>
      <c r="H31" s="7" t="s">
        <v>49</v>
      </c>
      <c r="I31" s="10">
        <v>44184</v>
      </c>
      <c r="J31" t="s">
        <v>31</v>
      </c>
      <c r="K31" s="7" t="s">
        <v>25</v>
      </c>
      <c r="L31" t="s">
        <v>49</v>
      </c>
      <c r="M31" s="7" t="s">
        <v>27</v>
      </c>
      <c r="N31" s="7" t="s">
        <v>36</v>
      </c>
      <c r="O31" s="7" t="s">
        <v>18</v>
      </c>
      <c r="P31" s="7" t="s">
        <v>310</v>
      </c>
      <c r="Q31" s="7" t="s">
        <v>468</v>
      </c>
      <c r="R31" s="11">
        <v>1312578</v>
      </c>
      <c r="S31" s="7" t="str">
        <f t="shared" si="0"/>
        <v>Senior</v>
      </c>
      <c r="T31" s="7">
        <v>4.2</v>
      </c>
      <c r="U31" s="3">
        <f>Engagement_Pulse_Survey[[#This Row],[Engagement Score]]/4</f>
        <v>3.25</v>
      </c>
      <c r="V31" s="7">
        <v>5</v>
      </c>
      <c r="W31" s="12">
        <v>0.76</v>
      </c>
      <c r="X31" s="12">
        <v>0.1</v>
      </c>
      <c r="Y31" s="7" t="s">
        <v>527</v>
      </c>
    </row>
    <row r="32" spans="1:25" x14ac:dyDescent="0.25">
      <c r="A32" s="7" t="s">
        <v>71</v>
      </c>
      <c r="B32" t="s">
        <v>620</v>
      </c>
      <c r="C32" s="7">
        <v>43</v>
      </c>
      <c r="D32" s="10" t="s">
        <v>491</v>
      </c>
      <c r="E32" s="7" t="s">
        <v>12</v>
      </c>
      <c r="F32" s="10" t="s">
        <v>497</v>
      </c>
      <c r="G32" s="1">
        <v>30098</v>
      </c>
      <c r="H32" s="7" t="s">
        <v>44</v>
      </c>
      <c r="I32" s="10">
        <v>44578</v>
      </c>
      <c r="J32" t="s">
        <v>56</v>
      </c>
      <c r="K32" s="7" t="s">
        <v>57</v>
      </c>
      <c r="L32" t="s">
        <v>44</v>
      </c>
      <c r="M32" s="7" t="s">
        <v>27</v>
      </c>
      <c r="N32" s="7" t="s">
        <v>29</v>
      </c>
      <c r="O32" s="7" t="s">
        <v>18</v>
      </c>
      <c r="P32" s="7" t="s">
        <v>310</v>
      </c>
      <c r="Q32" s="7" t="s">
        <v>472</v>
      </c>
      <c r="R32" s="11">
        <v>1048803</v>
      </c>
      <c r="S32" s="7" t="str">
        <f t="shared" si="0"/>
        <v>Mid</v>
      </c>
      <c r="T32" s="7">
        <v>4.5</v>
      </c>
      <c r="U32" s="3">
        <f>Engagement_Pulse_Survey[[#This Row],[Engagement Score]]/4</f>
        <v>2.25</v>
      </c>
      <c r="V32" s="7">
        <v>3</v>
      </c>
      <c r="W32" s="12">
        <v>0.91999999999999993</v>
      </c>
      <c r="X32" s="12">
        <v>0.1</v>
      </c>
      <c r="Y32" s="7" t="s">
        <v>528</v>
      </c>
    </row>
    <row r="33" spans="1:25" x14ac:dyDescent="0.25">
      <c r="A33" s="7" t="s">
        <v>72</v>
      </c>
      <c r="B33" t="s">
        <v>621</v>
      </c>
      <c r="C33" s="7">
        <v>41</v>
      </c>
      <c r="D33" s="10" t="s">
        <v>491</v>
      </c>
      <c r="E33" s="7" t="s">
        <v>12</v>
      </c>
      <c r="F33" s="10" t="s">
        <v>515</v>
      </c>
      <c r="G33" s="1">
        <v>30820</v>
      </c>
      <c r="H33" s="7" t="s">
        <v>15</v>
      </c>
      <c r="I33" s="10">
        <v>44322</v>
      </c>
      <c r="J33" t="s">
        <v>56</v>
      </c>
      <c r="K33" s="7" t="s">
        <v>14</v>
      </c>
      <c r="L33" t="s">
        <v>15</v>
      </c>
      <c r="M33" s="7" t="s">
        <v>27</v>
      </c>
      <c r="N33" s="7" t="s">
        <v>29</v>
      </c>
      <c r="O33" s="7" t="s">
        <v>18</v>
      </c>
      <c r="P33" s="7" t="s">
        <v>310</v>
      </c>
      <c r="Q33" s="7" t="s">
        <v>468</v>
      </c>
      <c r="R33" s="11">
        <v>482183</v>
      </c>
      <c r="S33" s="7" t="str">
        <f t="shared" si="0"/>
        <v>Entry</v>
      </c>
      <c r="T33" s="7">
        <v>4.7</v>
      </c>
      <c r="U33" s="3">
        <f>Engagement_Pulse_Survey[[#This Row],[Engagement Score]]/4</f>
        <v>2</v>
      </c>
      <c r="V33" s="7">
        <v>4</v>
      </c>
      <c r="W33" s="12">
        <v>0.86</v>
      </c>
      <c r="X33" s="12">
        <v>0.12</v>
      </c>
      <c r="Y33" s="7" t="s">
        <v>527</v>
      </c>
    </row>
    <row r="34" spans="1:25" x14ac:dyDescent="0.25">
      <c r="A34" s="7" t="s">
        <v>73</v>
      </c>
      <c r="B34" t="s">
        <v>622</v>
      </c>
      <c r="C34" s="7">
        <v>31</v>
      </c>
      <c r="D34" s="10" t="s">
        <v>492</v>
      </c>
      <c r="E34" s="7" t="s">
        <v>12</v>
      </c>
      <c r="F34" s="10" t="s">
        <v>516</v>
      </c>
      <c r="G34" s="1">
        <v>34621</v>
      </c>
      <c r="H34" s="7" t="s">
        <v>74</v>
      </c>
      <c r="I34" s="10">
        <v>43849</v>
      </c>
      <c r="J34" t="s">
        <v>21</v>
      </c>
      <c r="K34" s="7" t="s">
        <v>52</v>
      </c>
      <c r="L34" t="s">
        <v>74</v>
      </c>
      <c r="M34" s="7" t="s">
        <v>16</v>
      </c>
      <c r="N34" s="7" t="s">
        <v>36</v>
      </c>
      <c r="O34" s="7" t="s">
        <v>18</v>
      </c>
      <c r="P34" s="7" t="s">
        <v>310</v>
      </c>
      <c r="Q34" s="7" t="s">
        <v>470</v>
      </c>
      <c r="R34" s="11">
        <v>845623</v>
      </c>
      <c r="S34" s="7" t="str">
        <f t="shared" ref="S34:S51" si="1">IF(R34&lt;=500000,"Entry",
IF(R34&lt;=800000,"Junior",
IF(R34&lt;=1200000,"Mid",
IF(R34&lt;=1500000,"Senior","Leadership"))))</f>
        <v>Mid</v>
      </c>
      <c r="T34" s="7">
        <v>3.7</v>
      </c>
      <c r="U34" s="3">
        <f>Engagement_Pulse_Survey[[#This Row],[Engagement Score]]/4</f>
        <v>4.25</v>
      </c>
      <c r="V34" s="7">
        <v>5</v>
      </c>
      <c r="W34" s="12">
        <v>0.98000000000000009</v>
      </c>
      <c r="X34" s="12">
        <v>0.08</v>
      </c>
      <c r="Y34" s="7" t="s">
        <v>528</v>
      </c>
    </row>
    <row r="35" spans="1:25" x14ac:dyDescent="0.25">
      <c r="A35" s="7" t="s">
        <v>75</v>
      </c>
      <c r="B35" t="s">
        <v>623</v>
      </c>
      <c r="C35" s="7">
        <v>43</v>
      </c>
      <c r="D35" s="10" t="s">
        <v>491</v>
      </c>
      <c r="E35" s="7" t="s">
        <v>20</v>
      </c>
      <c r="F35" s="10" t="s">
        <v>508</v>
      </c>
      <c r="G35" s="1">
        <v>30164</v>
      </c>
      <c r="H35" s="7" t="s">
        <v>44</v>
      </c>
      <c r="I35" s="10">
        <v>44226</v>
      </c>
      <c r="J35" t="s">
        <v>38</v>
      </c>
      <c r="K35" s="7" t="s">
        <v>22</v>
      </c>
      <c r="L35" t="s">
        <v>44</v>
      </c>
      <c r="M35" s="7" t="s">
        <v>16</v>
      </c>
      <c r="N35" s="7" t="s">
        <v>36</v>
      </c>
      <c r="O35" s="7" t="s">
        <v>18</v>
      </c>
      <c r="P35" s="7" t="s">
        <v>310</v>
      </c>
      <c r="Q35" s="7" t="s">
        <v>474</v>
      </c>
      <c r="R35" s="11">
        <v>1051978</v>
      </c>
      <c r="S35" s="7" t="str">
        <f t="shared" si="1"/>
        <v>Mid</v>
      </c>
      <c r="T35" s="7">
        <v>4.5</v>
      </c>
      <c r="U35" s="3">
        <f>Engagement_Pulse_Survey[[#This Row],[Engagement Score]]/4</f>
        <v>3</v>
      </c>
      <c r="V35" s="7">
        <v>4</v>
      </c>
      <c r="W35" s="12">
        <v>0.94000000000000006</v>
      </c>
      <c r="X35" s="12">
        <v>0.15</v>
      </c>
      <c r="Y35" s="7" t="s">
        <v>527</v>
      </c>
    </row>
    <row r="36" spans="1:25" x14ac:dyDescent="0.25">
      <c r="A36" s="7" t="s">
        <v>76</v>
      </c>
      <c r="B36" t="s">
        <v>624</v>
      </c>
      <c r="C36" s="7">
        <v>36</v>
      </c>
      <c r="D36" s="10" t="s">
        <v>491</v>
      </c>
      <c r="E36" s="7" t="s">
        <v>12</v>
      </c>
      <c r="F36" s="10" t="s">
        <v>517</v>
      </c>
      <c r="G36" s="1">
        <v>32594</v>
      </c>
      <c r="H36" s="7" t="s">
        <v>26</v>
      </c>
      <c r="I36" s="10">
        <v>45102</v>
      </c>
      <c r="J36" t="s">
        <v>31</v>
      </c>
      <c r="K36" s="7" t="s">
        <v>32</v>
      </c>
      <c r="L36" t="s">
        <v>26</v>
      </c>
      <c r="M36" s="7" t="s">
        <v>16</v>
      </c>
      <c r="N36" s="7" t="s">
        <v>36</v>
      </c>
      <c r="O36" s="7" t="s">
        <v>18</v>
      </c>
      <c r="P36" s="7" t="s">
        <v>310</v>
      </c>
      <c r="Q36" s="7" t="s">
        <v>469</v>
      </c>
      <c r="R36" s="11">
        <v>405935</v>
      </c>
      <c r="S36" s="7" t="str">
        <f t="shared" si="1"/>
        <v>Entry</v>
      </c>
      <c r="T36" s="7">
        <v>4</v>
      </c>
      <c r="U36" s="3">
        <f>Engagement_Pulse_Survey[[#This Row],[Engagement Score]]/4</f>
        <v>4</v>
      </c>
      <c r="V36" s="7">
        <v>5</v>
      </c>
      <c r="W36" s="12">
        <v>0.74</v>
      </c>
      <c r="X36" s="12">
        <v>7.0000000000000007E-2</v>
      </c>
      <c r="Y36" s="7" t="s">
        <v>528</v>
      </c>
    </row>
    <row r="37" spans="1:25" x14ac:dyDescent="0.25">
      <c r="A37" s="7" t="s">
        <v>77</v>
      </c>
      <c r="B37" t="s">
        <v>625</v>
      </c>
      <c r="C37" s="7">
        <v>43</v>
      </c>
      <c r="D37" s="10" t="s">
        <v>491</v>
      </c>
      <c r="E37" s="7" t="s">
        <v>20</v>
      </c>
      <c r="F37" s="10" t="s">
        <v>504</v>
      </c>
      <c r="G37" s="1">
        <v>30352</v>
      </c>
      <c r="H37" s="7" t="s">
        <v>46</v>
      </c>
      <c r="I37" s="10">
        <v>44348</v>
      </c>
      <c r="J37" t="s">
        <v>56</v>
      </c>
      <c r="K37" s="7" t="s">
        <v>25</v>
      </c>
      <c r="L37" t="s">
        <v>46</v>
      </c>
      <c r="M37" s="7" t="s">
        <v>16</v>
      </c>
      <c r="N37" s="7" t="s">
        <v>36</v>
      </c>
      <c r="O37" s="7" t="s">
        <v>18</v>
      </c>
      <c r="P37" s="7" t="s">
        <v>310</v>
      </c>
      <c r="Q37" s="7" t="s">
        <v>469</v>
      </c>
      <c r="R37" s="11">
        <v>958981</v>
      </c>
      <c r="S37" s="7" t="str">
        <f t="shared" si="1"/>
        <v>Mid</v>
      </c>
      <c r="T37" s="7">
        <v>4.5999999999999996</v>
      </c>
      <c r="U37" s="3">
        <f>Engagement_Pulse_Survey[[#This Row],[Engagement Score]]/4</f>
        <v>2.75</v>
      </c>
      <c r="V37" s="7">
        <v>4</v>
      </c>
      <c r="W37" s="12">
        <v>0.9</v>
      </c>
      <c r="X37" s="12">
        <v>0.14000000000000001</v>
      </c>
      <c r="Y37" s="7" t="s">
        <v>528</v>
      </c>
    </row>
    <row r="38" spans="1:25" x14ac:dyDescent="0.25">
      <c r="A38" s="7" t="s">
        <v>78</v>
      </c>
      <c r="B38" t="s">
        <v>626</v>
      </c>
      <c r="C38" s="7">
        <v>39</v>
      </c>
      <c r="D38" s="10" t="s">
        <v>491</v>
      </c>
      <c r="E38" s="7" t="s">
        <v>20</v>
      </c>
      <c r="F38" s="10" t="s">
        <v>518</v>
      </c>
      <c r="G38" s="1">
        <v>31665</v>
      </c>
      <c r="H38" s="7" t="s">
        <v>15</v>
      </c>
      <c r="I38" s="10">
        <v>45205</v>
      </c>
      <c r="J38" t="s">
        <v>38</v>
      </c>
      <c r="K38" s="7" t="s">
        <v>22</v>
      </c>
      <c r="L38" t="s">
        <v>15</v>
      </c>
      <c r="M38" s="7" t="s">
        <v>16</v>
      </c>
      <c r="N38" s="7" t="s">
        <v>17</v>
      </c>
      <c r="O38" s="7" t="s">
        <v>18</v>
      </c>
      <c r="P38" s="7" t="s">
        <v>310</v>
      </c>
      <c r="Q38" s="7" t="s">
        <v>470</v>
      </c>
      <c r="R38" s="11">
        <v>493398</v>
      </c>
      <c r="S38" s="7" t="str">
        <f t="shared" si="1"/>
        <v>Entry</v>
      </c>
      <c r="T38" s="7">
        <v>3.7</v>
      </c>
      <c r="U38" s="3">
        <f>Engagement_Pulse_Survey[[#This Row],[Engagement Score]]/4</f>
        <v>3.25</v>
      </c>
      <c r="V38" s="7">
        <v>3</v>
      </c>
      <c r="W38" s="12">
        <v>0.86</v>
      </c>
      <c r="X38" s="12">
        <v>0.09</v>
      </c>
      <c r="Y38" s="7" t="s">
        <v>527</v>
      </c>
    </row>
    <row r="39" spans="1:25" x14ac:dyDescent="0.25">
      <c r="A39" s="7" t="s">
        <v>79</v>
      </c>
      <c r="B39" t="s">
        <v>627</v>
      </c>
      <c r="C39" s="7">
        <v>35</v>
      </c>
      <c r="D39" s="10" t="s">
        <v>492</v>
      </c>
      <c r="E39" s="7" t="s">
        <v>12</v>
      </c>
      <c r="F39" s="10" t="s">
        <v>497</v>
      </c>
      <c r="G39" s="1">
        <v>33065</v>
      </c>
      <c r="H39" s="7" t="s">
        <v>49</v>
      </c>
      <c r="I39" s="10">
        <v>44562</v>
      </c>
      <c r="J39" t="s">
        <v>13</v>
      </c>
      <c r="K39" s="7" t="s">
        <v>25</v>
      </c>
      <c r="L39" t="s">
        <v>49</v>
      </c>
      <c r="M39" s="7" t="s">
        <v>16</v>
      </c>
      <c r="N39" s="7" t="s">
        <v>29</v>
      </c>
      <c r="O39" s="7" t="s">
        <v>18</v>
      </c>
      <c r="P39" s="7" t="s">
        <v>310</v>
      </c>
      <c r="Q39" s="7" t="s">
        <v>474</v>
      </c>
      <c r="R39" s="11">
        <v>1439155</v>
      </c>
      <c r="S39" s="7" t="str">
        <f t="shared" si="1"/>
        <v>Senior</v>
      </c>
      <c r="T39" s="7">
        <v>4</v>
      </c>
      <c r="U39" s="3">
        <f>Engagement_Pulse_Survey[[#This Row],[Engagement Score]]/4</f>
        <v>3</v>
      </c>
      <c r="V39" s="7">
        <v>5</v>
      </c>
      <c r="W39" s="12">
        <v>0.96</v>
      </c>
      <c r="X39" s="12">
        <v>0.06</v>
      </c>
      <c r="Y39" s="7" t="s">
        <v>527</v>
      </c>
    </row>
    <row r="40" spans="1:25" x14ac:dyDescent="0.25">
      <c r="A40" s="7" t="s">
        <v>80</v>
      </c>
      <c r="B40" t="s">
        <v>628</v>
      </c>
      <c r="C40" s="7">
        <v>35</v>
      </c>
      <c r="D40" s="10" t="s">
        <v>492</v>
      </c>
      <c r="E40" s="7" t="s">
        <v>20</v>
      </c>
      <c r="F40" s="10" t="s">
        <v>512</v>
      </c>
      <c r="G40" s="1">
        <v>33258</v>
      </c>
      <c r="H40" s="7" t="s">
        <v>49</v>
      </c>
      <c r="I40" s="10">
        <v>44541</v>
      </c>
      <c r="J40" t="s">
        <v>21</v>
      </c>
      <c r="K40" s="7" t="s">
        <v>25</v>
      </c>
      <c r="L40" t="s">
        <v>49</v>
      </c>
      <c r="M40" s="7" t="s">
        <v>16</v>
      </c>
      <c r="N40" s="7" t="s">
        <v>17</v>
      </c>
      <c r="O40" s="7" t="s">
        <v>18</v>
      </c>
      <c r="P40" s="7" t="s">
        <v>310</v>
      </c>
      <c r="Q40" s="7" t="s">
        <v>466</v>
      </c>
      <c r="R40" s="11">
        <v>538527</v>
      </c>
      <c r="S40" s="7" t="str">
        <f t="shared" si="1"/>
        <v>Junior</v>
      </c>
      <c r="T40" s="7">
        <v>3.9</v>
      </c>
      <c r="U40" s="3">
        <f>Engagement_Pulse_Survey[[#This Row],[Engagement Score]]/4</f>
        <v>3.25</v>
      </c>
      <c r="V40" s="7">
        <v>4</v>
      </c>
      <c r="W40" s="12">
        <v>0.86</v>
      </c>
      <c r="X40" s="12">
        <v>0.11</v>
      </c>
      <c r="Y40" s="7" t="s">
        <v>527</v>
      </c>
    </row>
    <row r="41" spans="1:25" x14ac:dyDescent="0.25">
      <c r="A41" s="7" t="s">
        <v>81</v>
      </c>
      <c r="B41" t="s">
        <v>629</v>
      </c>
      <c r="C41" s="7">
        <v>30</v>
      </c>
      <c r="D41" s="10" t="s">
        <v>492</v>
      </c>
      <c r="E41" s="7" t="s">
        <v>12</v>
      </c>
      <c r="F41" s="10" t="s">
        <v>497</v>
      </c>
      <c r="G41" s="1">
        <v>35007</v>
      </c>
      <c r="H41" s="7" t="s">
        <v>35</v>
      </c>
      <c r="I41" s="10">
        <v>44589</v>
      </c>
      <c r="J41" t="s">
        <v>56</v>
      </c>
      <c r="K41" s="7" t="s">
        <v>14</v>
      </c>
      <c r="L41" t="s">
        <v>35</v>
      </c>
      <c r="M41" s="7" t="s">
        <v>16</v>
      </c>
      <c r="N41" s="7" t="s">
        <v>36</v>
      </c>
      <c r="O41" s="7" t="s">
        <v>18</v>
      </c>
      <c r="P41" s="7" t="s">
        <v>310</v>
      </c>
      <c r="Q41" s="7" t="s">
        <v>473</v>
      </c>
      <c r="R41" s="11">
        <v>924847</v>
      </c>
      <c r="S41" s="7" t="str">
        <f t="shared" si="1"/>
        <v>Mid</v>
      </c>
      <c r="T41" s="7">
        <v>3.4</v>
      </c>
      <c r="U41" s="3">
        <f>Engagement_Pulse_Survey[[#This Row],[Engagement Score]]/4</f>
        <v>3.5</v>
      </c>
      <c r="V41" s="7">
        <v>4</v>
      </c>
      <c r="W41" s="12">
        <v>0.8</v>
      </c>
      <c r="X41" s="12">
        <v>0.08</v>
      </c>
      <c r="Y41" s="7" t="s">
        <v>527</v>
      </c>
    </row>
    <row r="42" spans="1:25" x14ac:dyDescent="0.25">
      <c r="A42" s="7" t="s">
        <v>82</v>
      </c>
      <c r="B42" t="s">
        <v>630</v>
      </c>
      <c r="C42" s="7">
        <v>36</v>
      </c>
      <c r="D42" s="10" t="s">
        <v>491</v>
      </c>
      <c r="E42" s="7" t="s">
        <v>20</v>
      </c>
      <c r="F42" s="10" t="s">
        <v>508</v>
      </c>
      <c r="G42" s="1">
        <v>32702</v>
      </c>
      <c r="H42" s="7" t="s">
        <v>23</v>
      </c>
      <c r="I42" s="10">
        <v>44209</v>
      </c>
      <c r="J42" t="s">
        <v>31</v>
      </c>
      <c r="K42" s="7" t="s">
        <v>40</v>
      </c>
      <c r="L42" t="s">
        <v>23</v>
      </c>
      <c r="M42" s="7" t="s">
        <v>16</v>
      </c>
      <c r="N42" s="7" t="s">
        <v>29</v>
      </c>
      <c r="O42" s="7" t="s">
        <v>83</v>
      </c>
      <c r="P42" s="7" t="s">
        <v>528</v>
      </c>
      <c r="Q42" s="7" t="s">
        <v>462</v>
      </c>
      <c r="R42" s="11">
        <v>1342016</v>
      </c>
      <c r="S42" s="7" t="str">
        <f t="shared" si="1"/>
        <v>Senior</v>
      </c>
      <c r="T42" s="7">
        <v>4.0999999999999996</v>
      </c>
      <c r="U42" s="7" t="e">
        <f>Engagement_Pulse_Survey[[#This Row],[Engagement Score]]/4</f>
        <v>#VALUE!</v>
      </c>
      <c r="V42" s="7">
        <v>5</v>
      </c>
      <c r="W42" s="12">
        <v>0.94000000000000006</v>
      </c>
      <c r="X42" s="12">
        <v>0.13</v>
      </c>
      <c r="Y42" s="7" t="s">
        <v>527</v>
      </c>
    </row>
    <row r="43" spans="1:25" x14ac:dyDescent="0.25">
      <c r="A43" s="7" t="s">
        <v>84</v>
      </c>
      <c r="B43" t="s">
        <v>631</v>
      </c>
      <c r="C43" s="7">
        <v>37</v>
      </c>
      <c r="D43" s="10" t="s">
        <v>491</v>
      </c>
      <c r="E43" s="7" t="s">
        <v>12</v>
      </c>
      <c r="F43" s="10" t="s">
        <v>519</v>
      </c>
      <c r="G43" s="1">
        <v>32354</v>
      </c>
      <c r="H43" s="7" t="s">
        <v>44</v>
      </c>
      <c r="I43" s="10">
        <v>44248</v>
      </c>
      <c r="J43" t="s">
        <v>56</v>
      </c>
      <c r="K43" s="7" t="s">
        <v>32</v>
      </c>
      <c r="L43" t="s">
        <v>44</v>
      </c>
      <c r="M43" s="7" t="s">
        <v>16</v>
      </c>
      <c r="N43" s="7" t="s">
        <v>17</v>
      </c>
      <c r="O43" s="7" t="s">
        <v>83</v>
      </c>
      <c r="P43" s="7" t="s">
        <v>528</v>
      </c>
      <c r="Q43" s="7" t="s">
        <v>313</v>
      </c>
      <c r="R43" s="11">
        <v>1395516</v>
      </c>
      <c r="S43" s="7" t="str">
        <f t="shared" si="1"/>
        <v>Senior</v>
      </c>
      <c r="T43" s="7">
        <v>4.0999999999999996</v>
      </c>
      <c r="U43" s="7" t="e">
        <f>Engagement_Pulse_Survey[[#This Row],[Engagement Score]]/4</f>
        <v>#VALUE!</v>
      </c>
      <c r="V43" s="7">
        <v>5</v>
      </c>
      <c r="W43" s="12">
        <v>0.8</v>
      </c>
      <c r="X43" s="12">
        <v>0.05</v>
      </c>
      <c r="Y43" s="7" t="s">
        <v>528</v>
      </c>
    </row>
    <row r="44" spans="1:25" x14ac:dyDescent="0.25">
      <c r="A44" s="7" t="s">
        <v>85</v>
      </c>
      <c r="B44" t="s">
        <v>632</v>
      </c>
      <c r="C44" s="7">
        <v>37</v>
      </c>
      <c r="D44" s="10" t="s">
        <v>491</v>
      </c>
      <c r="E44" s="7" t="s">
        <v>20</v>
      </c>
      <c r="F44" s="10" t="s">
        <v>520</v>
      </c>
      <c r="G44" s="1">
        <v>32311</v>
      </c>
      <c r="H44" s="7" t="s">
        <v>26</v>
      </c>
      <c r="I44" s="10">
        <v>45007</v>
      </c>
      <c r="J44" t="s">
        <v>13</v>
      </c>
      <c r="K44" s="7" t="s">
        <v>32</v>
      </c>
      <c r="L44" t="s">
        <v>26</v>
      </c>
      <c r="M44" s="7" t="s">
        <v>16</v>
      </c>
      <c r="N44" s="7" t="s">
        <v>36</v>
      </c>
      <c r="O44" s="7" t="s">
        <v>83</v>
      </c>
      <c r="P44" s="7" t="s">
        <v>528</v>
      </c>
      <c r="Q44" s="7" t="s">
        <v>463</v>
      </c>
      <c r="R44" s="11">
        <v>1290730</v>
      </c>
      <c r="S44" s="7" t="str">
        <f t="shared" si="1"/>
        <v>Senior</v>
      </c>
      <c r="T44" s="7">
        <v>3.3</v>
      </c>
      <c r="U44" s="7" t="e">
        <f>Engagement_Pulse_Survey[[#This Row],[Engagement Score]]/4</f>
        <v>#VALUE!</v>
      </c>
      <c r="V44" s="7">
        <v>4</v>
      </c>
      <c r="W44" s="12">
        <v>0.8</v>
      </c>
      <c r="X44" s="12">
        <v>0.12</v>
      </c>
      <c r="Y44" s="7" t="s">
        <v>528</v>
      </c>
    </row>
    <row r="45" spans="1:25" x14ac:dyDescent="0.25">
      <c r="A45" s="7" t="s">
        <v>86</v>
      </c>
      <c r="B45" t="s">
        <v>633</v>
      </c>
      <c r="C45" s="7">
        <v>39</v>
      </c>
      <c r="D45" s="10" t="s">
        <v>491</v>
      </c>
      <c r="E45" s="7" t="s">
        <v>20</v>
      </c>
      <c r="F45" s="10" t="s">
        <v>518</v>
      </c>
      <c r="G45" s="1">
        <v>31665</v>
      </c>
      <c r="H45" s="7" t="s">
        <v>15</v>
      </c>
      <c r="I45" s="10">
        <v>45213</v>
      </c>
      <c r="J45" t="s">
        <v>56</v>
      </c>
      <c r="K45" s="7" t="s">
        <v>22</v>
      </c>
      <c r="L45" t="s">
        <v>15</v>
      </c>
      <c r="M45" s="7" t="s">
        <v>27</v>
      </c>
      <c r="N45" s="7" t="s">
        <v>17</v>
      </c>
      <c r="O45" s="7" t="s">
        <v>83</v>
      </c>
      <c r="P45" s="7" t="s">
        <v>528</v>
      </c>
      <c r="Q45" s="7" t="s">
        <v>464</v>
      </c>
      <c r="R45" s="11">
        <v>975479</v>
      </c>
      <c r="S45" s="7" t="str">
        <f t="shared" si="1"/>
        <v>Mid</v>
      </c>
      <c r="T45" s="7">
        <v>3</v>
      </c>
      <c r="U45" s="7" t="e">
        <f>Engagement_Pulse_Survey[[#This Row],[Engagement Score]]/4</f>
        <v>#VALUE!</v>
      </c>
      <c r="V45" s="7">
        <v>3</v>
      </c>
      <c r="W45" s="12">
        <v>0.88000000000000012</v>
      </c>
      <c r="X45" s="12">
        <v>7.0000000000000007E-2</v>
      </c>
      <c r="Y45" s="7" t="s">
        <v>527</v>
      </c>
    </row>
    <row r="46" spans="1:25" x14ac:dyDescent="0.25">
      <c r="A46" s="7" t="s">
        <v>87</v>
      </c>
      <c r="B46" t="s">
        <v>634</v>
      </c>
      <c r="C46" s="7">
        <v>32</v>
      </c>
      <c r="D46" s="10" t="s">
        <v>492</v>
      </c>
      <c r="E46" s="7" t="s">
        <v>12</v>
      </c>
      <c r="F46" s="10" t="s">
        <v>517</v>
      </c>
      <c r="G46" s="1">
        <v>34270</v>
      </c>
      <c r="H46" s="7" t="s">
        <v>41</v>
      </c>
      <c r="I46" s="10">
        <v>45084</v>
      </c>
      <c r="J46" t="s">
        <v>56</v>
      </c>
      <c r="K46" s="7" t="s">
        <v>52</v>
      </c>
      <c r="L46" t="s">
        <v>41</v>
      </c>
      <c r="M46" s="7" t="s">
        <v>16</v>
      </c>
      <c r="N46" s="7" t="s">
        <v>36</v>
      </c>
      <c r="O46" s="7" t="s">
        <v>83</v>
      </c>
      <c r="P46" s="7" t="s">
        <v>528</v>
      </c>
      <c r="Q46" s="7" t="s">
        <v>313</v>
      </c>
      <c r="R46" s="11">
        <v>1496475</v>
      </c>
      <c r="S46" s="7" t="str">
        <f t="shared" si="1"/>
        <v>Senior</v>
      </c>
      <c r="T46" s="7">
        <v>3.7</v>
      </c>
      <c r="U46" s="7" t="e">
        <f>Engagement_Pulse_Survey[[#This Row],[Engagement Score]]/4</f>
        <v>#VALUE!</v>
      </c>
      <c r="V46" s="7">
        <v>3</v>
      </c>
      <c r="W46" s="12">
        <v>0.9</v>
      </c>
      <c r="X46" s="12">
        <v>0.1</v>
      </c>
      <c r="Y46" s="7" t="s">
        <v>527</v>
      </c>
    </row>
    <row r="47" spans="1:25" x14ac:dyDescent="0.25">
      <c r="A47" s="7" t="s">
        <v>88</v>
      </c>
      <c r="B47" t="s">
        <v>635</v>
      </c>
      <c r="C47" s="7">
        <v>30</v>
      </c>
      <c r="D47" s="10" t="s">
        <v>492</v>
      </c>
      <c r="E47" s="7" t="s">
        <v>20</v>
      </c>
      <c r="F47" s="10" t="s">
        <v>521</v>
      </c>
      <c r="G47" s="1">
        <v>34788</v>
      </c>
      <c r="H47" s="7" t="s">
        <v>23</v>
      </c>
      <c r="I47" s="10">
        <v>44458</v>
      </c>
      <c r="J47" t="s">
        <v>31</v>
      </c>
      <c r="K47" s="7" t="s">
        <v>40</v>
      </c>
      <c r="L47" t="s">
        <v>23</v>
      </c>
      <c r="M47" s="7" t="s">
        <v>16</v>
      </c>
      <c r="N47" s="7" t="s">
        <v>36</v>
      </c>
      <c r="O47" s="7" t="s">
        <v>83</v>
      </c>
      <c r="P47" s="7" t="s">
        <v>528</v>
      </c>
      <c r="Q47" s="7" t="s">
        <v>462</v>
      </c>
      <c r="R47" s="11">
        <v>993091</v>
      </c>
      <c r="S47" s="7" t="str">
        <f t="shared" si="1"/>
        <v>Mid</v>
      </c>
      <c r="T47" s="7">
        <v>4.5999999999999996</v>
      </c>
      <c r="U47" s="7" t="e">
        <f>Engagement_Pulse_Survey[[#This Row],[Engagement Score]]/4</f>
        <v>#VALUE!</v>
      </c>
      <c r="V47" s="7">
        <v>4</v>
      </c>
      <c r="W47" s="12">
        <v>0.8</v>
      </c>
      <c r="X47" s="12">
        <v>0.11</v>
      </c>
      <c r="Y47" s="7" t="s">
        <v>527</v>
      </c>
    </row>
    <row r="48" spans="1:25" x14ac:dyDescent="0.25">
      <c r="A48" s="7" t="s">
        <v>89</v>
      </c>
      <c r="B48" t="s">
        <v>636</v>
      </c>
      <c r="C48" s="7">
        <v>31</v>
      </c>
      <c r="D48" s="10" t="s">
        <v>492</v>
      </c>
      <c r="E48" s="7" t="s">
        <v>20</v>
      </c>
      <c r="F48" s="10" t="s">
        <v>515</v>
      </c>
      <c r="G48" s="1">
        <v>34648</v>
      </c>
      <c r="H48" s="7" t="s">
        <v>15</v>
      </c>
      <c r="I48" s="10">
        <v>44327</v>
      </c>
      <c r="J48" t="s">
        <v>38</v>
      </c>
      <c r="K48" s="7" t="s">
        <v>25</v>
      </c>
      <c r="L48" t="s">
        <v>15</v>
      </c>
      <c r="M48" s="7" t="s">
        <v>16</v>
      </c>
      <c r="N48" s="7" t="s">
        <v>36</v>
      </c>
      <c r="O48" s="7" t="s">
        <v>83</v>
      </c>
      <c r="P48" s="7" t="s">
        <v>528</v>
      </c>
      <c r="Q48" s="7" t="s">
        <v>463</v>
      </c>
      <c r="R48" s="11">
        <v>818126</v>
      </c>
      <c r="S48" s="7" t="str">
        <f t="shared" si="1"/>
        <v>Mid</v>
      </c>
      <c r="T48" s="7">
        <v>3.9</v>
      </c>
      <c r="U48" s="7" t="e">
        <f>Engagement_Pulse_Survey[[#This Row],[Engagement Score]]/4</f>
        <v>#VALUE!</v>
      </c>
      <c r="V48" s="7">
        <v>4</v>
      </c>
      <c r="W48" s="12">
        <v>0.8</v>
      </c>
      <c r="X48" s="12">
        <v>0.08</v>
      </c>
      <c r="Y48" s="7" t="s">
        <v>527</v>
      </c>
    </row>
    <row r="49" spans="1:25" x14ac:dyDescent="0.25">
      <c r="A49" s="7" t="s">
        <v>90</v>
      </c>
      <c r="B49" t="s">
        <v>637</v>
      </c>
      <c r="C49" s="7">
        <v>43</v>
      </c>
      <c r="D49" s="10" t="s">
        <v>491</v>
      </c>
      <c r="E49" s="7" t="s">
        <v>20</v>
      </c>
      <c r="F49" s="10" t="s">
        <v>517</v>
      </c>
      <c r="G49" s="1">
        <v>30200</v>
      </c>
      <c r="H49" s="7" t="s">
        <v>41</v>
      </c>
      <c r="I49" s="10">
        <v>45084</v>
      </c>
      <c r="J49" t="s">
        <v>13</v>
      </c>
      <c r="K49" s="7" t="s">
        <v>25</v>
      </c>
      <c r="L49" t="s">
        <v>41</v>
      </c>
      <c r="M49" s="7" t="s">
        <v>27</v>
      </c>
      <c r="N49" s="7" t="s">
        <v>17</v>
      </c>
      <c r="O49" s="7" t="s">
        <v>83</v>
      </c>
      <c r="P49" s="7" t="s">
        <v>528</v>
      </c>
      <c r="Q49" s="7" t="s">
        <v>464</v>
      </c>
      <c r="R49" s="11">
        <v>762005</v>
      </c>
      <c r="S49" s="7" t="str">
        <f t="shared" si="1"/>
        <v>Junior</v>
      </c>
      <c r="T49" s="7">
        <v>4.7</v>
      </c>
      <c r="U49" s="7" t="e">
        <f>Engagement_Pulse_Survey[[#This Row],[Engagement Score]]/4</f>
        <v>#VALUE!</v>
      </c>
      <c r="V49" s="7">
        <v>5</v>
      </c>
      <c r="W49" s="12">
        <v>0.88000000000000012</v>
      </c>
      <c r="X49" s="12">
        <v>0.13</v>
      </c>
      <c r="Y49" s="7" t="s">
        <v>528</v>
      </c>
    </row>
    <row r="50" spans="1:25" x14ac:dyDescent="0.25">
      <c r="A50" s="7" t="s">
        <v>91</v>
      </c>
      <c r="B50" t="s">
        <v>638</v>
      </c>
      <c r="C50" s="7">
        <v>37</v>
      </c>
      <c r="D50" s="10" t="s">
        <v>491</v>
      </c>
      <c r="E50" s="7" t="s">
        <v>20</v>
      </c>
      <c r="F50" s="10" t="s">
        <v>509</v>
      </c>
      <c r="G50" s="1">
        <v>32495</v>
      </c>
      <c r="H50" s="7" t="s">
        <v>15</v>
      </c>
      <c r="I50" s="10">
        <v>44277</v>
      </c>
      <c r="J50" t="s">
        <v>13</v>
      </c>
      <c r="K50" s="7" t="s">
        <v>14</v>
      </c>
      <c r="L50" t="s">
        <v>15</v>
      </c>
      <c r="M50" s="7" t="s">
        <v>16</v>
      </c>
      <c r="N50" s="7" t="s">
        <v>17</v>
      </c>
      <c r="O50" s="7" t="s">
        <v>83</v>
      </c>
      <c r="P50" s="7" t="s">
        <v>528</v>
      </c>
      <c r="Q50" s="7" t="s">
        <v>464</v>
      </c>
      <c r="R50" s="11">
        <v>683945</v>
      </c>
      <c r="S50" s="7" t="str">
        <f t="shared" si="1"/>
        <v>Junior</v>
      </c>
      <c r="T50" s="7">
        <v>4.7</v>
      </c>
      <c r="U50" s="7" t="e">
        <f>Engagement_Pulse_Survey[[#This Row],[Engagement Score]]/4</f>
        <v>#VALUE!</v>
      </c>
      <c r="V50" s="7">
        <v>5</v>
      </c>
      <c r="W50" s="12">
        <v>0.86</v>
      </c>
      <c r="X50" s="12">
        <v>0.05</v>
      </c>
      <c r="Y50" s="7" t="s">
        <v>528</v>
      </c>
    </row>
    <row r="51" spans="1:25" x14ac:dyDescent="0.25">
      <c r="A51" s="7" t="s">
        <v>92</v>
      </c>
      <c r="B51" t="s">
        <v>639</v>
      </c>
      <c r="C51" s="7">
        <v>44</v>
      </c>
      <c r="D51" s="10" t="s">
        <v>491</v>
      </c>
      <c r="E51" s="7" t="s">
        <v>20</v>
      </c>
      <c r="F51" s="10" t="s">
        <v>522</v>
      </c>
      <c r="G51" s="1">
        <v>29725</v>
      </c>
      <c r="H51" s="7" t="s">
        <v>35</v>
      </c>
      <c r="I51" s="10">
        <v>44106</v>
      </c>
      <c r="J51" t="s">
        <v>21</v>
      </c>
      <c r="K51" s="7" t="s">
        <v>52</v>
      </c>
      <c r="L51" t="s">
        <v>35</v>
      </c>
      <c r="M51" s="7" t="s">
        <v>27</v>
      </c>
      <c r="N51" s="7" t="s">
        <v>17</v>
      </c>
      <c r="O51" s="7" t="s">
        <v>83</v>
      </c>
      <c r="P51" s="7" t="s">
        <v>528</v>
      </c>
      <c r="Q51" s="7" t="s">
        <v>462</v>
      </c>
      <c r="R51" s="11">
        <v>852411</v>
      </c>
      <c r="S51" s="7" t="str">
        <f t="shared" si="1"/>
        <v>Mid</v>
      </c>
      <c r="T51" s="7">
        <v>3.3</v>
      </c>
      <c r="U51" s="7" t="e">
        <f>Engagement_Pulse_Survey[[#This Row],[Engagement Score]]/4</f>
        <v>#VALUE!</v>
      </c>
      <c r="V51" s="7">
        <v>4</v>
      </c>
      <c r="W51" s="12">
        <v>0.88000000000000012</v>
      </c>
      <c r="X51" s="12">
        <v>0.12</v>
      </c>
      <c r="Y51" s="7" t="s">
        <v>528</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1212-FF33-43B0-B3CA-7CFDB01FE0DD}">
  <dimension ref="A1:R45"/>
  <sheetViews>
    <sheetView workbookViewId="0">
      <selection activeCell="B4" sqref="B4:B5"/>
    </sheetView>
  </sheetViews>
  <sheetFormatPr defaultRowHeight="15" x14ac:dyDescent="0.25"/>
  <cols>
    <col min="1" max="1" width="30.85546875" bestFit="1" customWidth="1"/>
    <col min="2" max="2" width="9.140625" bestFit="1" customWidth="1"/>
    <col min="3" max="4" width="4.28515625" customWidth="1"/>
    <col min="5" max="5" width="13.140625" bestFit="1" customWidth="1"/>
    <col min="6" max="6" width="27.85546875" bestFit="1" customWidth="1"/>
    <col min="7" max="7" width="2.5703125" customWidth="1"/>
    <col min="8" max="8" width="32.28515625" bestFit="1" customWidth="1"/>
    <col min="9" max="9" width="25.85546875" bestFit="1" customWidth="1"/>
    <col min="10" max="10" width="3.42578125" customWidth="1"/>
    <col min="11" max="11" width="24.140625" bestFit="1" customWidth="1"/>
    <col min="12" max="12" width="15.85546875" bestFit="1" customWidth="1"/>
    <col min="13" max="13" width="2.85546875" customWidth="1"/>
    <col min="14" max="14" width="19" bestFit="1" customWidth="1"/>
    <col min="15" max="15" width="15.85546875" bestFit="1" customWidth="1"/>
    <col min="17" max="17" width="23.42578125" bestFit="1" customWidth="1"/>
    <col min="18" max="18" width="15.85546875" bestFit="1" customWidth="1"/>
  </cols>
  <sheetData>
    <row r="1" spans="1:17" x14ac:dyDescent="0.25">
      <c r="A1" s="24" t="s">
        <v>553</v>
      </c>
    </row>
    <row r="2" spans="1:17" x14ac:dyDescent="0.25">
      <c r="A2" s="19" t="s">
        <v>576</v>
      </c>
      <c r="B2" s="20">
        <f>COUNTA('Dash board base'!A2:A51)</f>
        <v>50</v>
      </c>
      <c r="E2" s="8" t="s">
        <v>455</v>
      </c>
      <c r="F2" s="16" t="s">
        <v>534</v>
      </c>
      <c r="H2" s="8" t="s">
        <v>10</v>
      </c>
      <c r="I2" s="3" t="s">
        <v>83</v>
      </c>
      <c r="N2" s="8" t="s">
        <v>10</v>
      </c>
      <c r="O2" t="s">
        <v>18</v>
      </c>
    </row>
    <row r="3" spans="1:17" x14ac:dyDescent="0.25">
      <c r="A3" t="s">
        <v>577</v>
      </c>
      <c r="B3" s="20">
        <f>COUNTA('Dash board base'!O2:O41)</f>
        <v>40</v>
      </c>
      <c r="E3" s="9" t="s">
        <v>18</v>
      </c>
      <c r="F3" s="53">
        <v>869836.02500000002</v>
      </c>
      <c r="K3" s="16" t="s">
        <v>10</v>
      </c>
      <c r="L3" s="3" t="s">
        <v>18</v>
      </c>
    </row>
    <row r="4" spans="1:17" x14ac:dyDescent="0.25">
      <c r="A4" s="19" t="s">
        <v>579</v>
      </c>
      <c r="B4" s="21">
        <f>10/50</f>
        <v>0.2</v>
      </c>
      <c r="H4" s="16" t="s">
        <v>543</v>
      </c>
      <c r="I4" t="s">
        <v>542</v>
      </c>
      <c r="N4" s="16" t="s">
        <v>588</v>
      </c>
      <c r="O4" t="s">
        <v>554</v>
      </c>
    </row>
    <row r="5" spans="1:17" x14ac:dyDescent="0.25">
      <c r="A5" t="s">
        <v>580</v>
      </c>
      <c r="B5" s="22">
        <v>869836.02500000002</v>
      </c>
      <c r="H5" s="9" t="s">
        <v>464</v>
      </c>
      <c r="I5" s="50">
        <v>3</v>
      </c>
      <c r="K5" s="16" t="s">
        <v>582</v>
      </c>
      <c r="L5" s="16" t="s">
        <v>542</v>
      </c>
      <c r="N5" s="9" t="s">
        <v>25</v>
      </c>
      <c r="O5" s="25">
        <v>0.81625000000000003</v>
      </c>
    </row>
    <row r="6" spans="1:17" x14ac:dyDescent="0.25">
      <c r="A6" t="s">
        <v>581</v>
      </c>
      <c r="B6" s="23">
        <v>0.63</v>
      </c>
      <c r="H6" s="9" t="s">
        <v>462</v>
      </c>
      <c r="I6" s="50">
        <v>3</v>
      </c>
      <c r="K6" s="9" t="s">
        <v>25</v>
      </c>
      <c r="L6" s="3">
        <v>8</v>
      </c>
      <c r="N6" s="9" t="s">
        <v>57</v>
      </c>
      <c r="O6" s="25">
        <v>0.86333333333333329</v>
      </c>
    </row>
    <row r="7" spans="1:17" x14ac:dyDescent="0.25">
      <c r="A7" t="s">
        <v>578</v>
      </c>
      <c r="B7" s="20">
        <f>COUNTA('Dash board base'!O42:O51)</f>
        <v>10</v>
      </c>
      <c r="E7" s="8" t="s">
        <v>455</v>
      </c>
      <c r="F7" s="16" t="s">
        <v>535</v>
      </c>
      <c r="H7" s="9" t="s">
        <v>463</v>
      </c>
      <c r="I7" s="50">
        <v>2</v>
      </c>
      <c r="K7" s="9" t="s">
        <v>57</v>
      </c>
      <c r="L7" s="3">
        <v>6</v>
      </c>
      <c r="N7" s="9" t="s">
        <v>32</v>
      </c>
      <c r="O7" s="25">
        <v>0.9</v>
      </c>
      <c r="Q7" t="s">
        <v>645</v>
      </c>
    </row>
    <row r="8" spans="1:17" x14ac:dyDescent="0.25">
      <c r="E8" s="9" t="s">
        <v>18</v>
      </c>
      <c r="F8" s="54">
        <v>3.125</v>
      </c>
      <c r="H8" s="9" t="s">
        <v>313</v>
      </c>
      <c r="I8" s="50">
        <v>2</v>
      </c>
      <c r="K8" s="9" t="s">
        <v>32</v>
      </c>
      <c r="L8" s="3">
        <v>5</v>
      </c>
      <c r="N8" s="9" t="s">
        <v>40</v>
      </c>
      <c r="O8" s="25">
        <v>0.83999999999999986</v>
      </c>
    </row>
    <row r="9" spans="1:17" x14ac:dyDescent="0.25">
      <c r="K9" s="9" t="s">
        <v>40</v>
      </c>
      <c r="L9" s="3">
        <v>5</v>
      </c>
      <c r="N9" s="9" t="s">
        <v>14</v>
      </c>
      <c r="O9" s="25">
        <v>0.84571428571428575</v>
      </c>
    </row>
    <row r="10" spans="1:17" x14ac:dyDescent="0.25">
      <c r="A10" s="40"/>
      <c r="B10" s="41"/>
      <c r="C10" s="42"/>
      <c r="F10" s="17">
        <f>3.125/5</f>
        <v>0.625</v>
      </c>
      <c r="K10" s="9" t="s">
        <v>14</v>
      </c>
      <c r="L10" s="3">
        <v>7</v>
      </c>
      <c r="N10" s="9" t="s">
        <v>52</v>
      </c>
      <c r="O10" s="25">
        <v>0.79</v>
      </c>
    </row>
    <row r="11" spans="1:17" x14ac:dyDescent="0.25">
      <c r="A11" s="43"/>
      <c r="B11" s="44"/>
      <c r="C11" s="45"/>
      <c r="K11" s="9" t="s">
        <v>52</v>
      </c>
      <c r="L11" s="3">
        <v>2</v>
      </c>
      <c r="N11" s="9" t="s">
        <v>22</v>
      </c>
      <c r="O11" s="25">
        <v>0.83285714285714296</v>
      </c>
    </row>
    <row r="12" spans="1:17" x14ac:dyDescent="0.25">
      <c r="A12" s="43"/>
      <c r="B12" s="44"/>
      <c r="C12" s="45"/>
      <c r="E12" s="8" t="s">
        <v>10</v>
      </c>
      <c r="F12" t="s">
        <v>83</v>
      </c>
      <c r="H12" s="8" t="s">
        <v>10</v>
      </c>
      <c r="I12" t="s">
        <v>18</v>
      </c>
      <c r="K12" s="9" t="s">
        <v>22</v>
      </c>
      <c r="L12" s="3">
        <v>7</v>
      </c>
      <c r="N12" s="9" t="s">
        <v>456</v>
      </c>
      <c r="O12" s="25">
        <v>0.84349999999999992</v>
      </c>
    </row>
    <row r="13" spans="1:17" x14ac:dyDescent="0.25">
      <c r="A13" s="43"/>
      <c r="B13" s="44"/>
      <c r="C13" s="45"/>
      <c r="K13" s="9" t="s">
        <v>456</v>
      </c>
      <c r="L13" s="3">
        <v>40</v>
      </c>
    </row>
    <row r="14" spans="1:17" x14ac:dyDescent="0.25">
      <c r="A14" s="43"/>
      <c r="B14" s="44"/>
      <c r="C14" s="45"/>
      <c r="E14" s="16" t="s">
        <v>585</v>
      </c>
      <c r="F14" t="s">
        <v>542</v>
      </c>
      <c r="H14" s="16" t="s">
        <v>584</v>
      </c>
      <c r="I14" s="16" t="s">
        <v>534</v>
      </c>
    </row>
    <row r="15" spans="1:17" x14ac:dyDescent="0.25">
      <c r="A15" s="43"/>
      <c r="B15" s="44"/>
      <c r="C15" s="45"/>
      <c r="E15" s="9" t="s">
        <v>25</v>
      </c>
      <c r="F15" s="3">
        <v>2</v>
      </c>
      <c r="H15" s="9" t="s">
        <v>544</v>
      </c>
      <c r="I15" s="53">
        <v>445142.3</v>
      </c>
      <c r="N15" s="8" t="s">
        <v>10</v>
      </c>
      <c r="O15" t="s">
        <v>18</v>
      </c>
    </row>
    <row r="16" spans="1:17" x14ac:dyDescent="0.25">
      <c r="A16" s="43"/>
      <c r="B16" s="44"/>
      <c r="C16" s="45"/>
      <c r="E16" s="9" t="s">
        <v>32</v>
      </c>
      <c r="F16" s="3">
        <v>2</v>
      </c>
      <c r="H16" s="9" t="s">
        <v>545</v>
      </c>
      <c r="I16" s="53">
        <v>595576.71428571432</v>
      </c>
      <c r="K16" s="8" t="s">
        <v>10</v>
      </c>
      <c r="L16" s="3" t="s">
        <v>18</v>
      </c>
    </row>
    <row r="17" spans="1:18" x14ac:dyDescent="0.25">
      <c r="A17" s="43"/>
      <c r="B17" s="44"/>
      <c r="C17" s="45"/>
      <c r="E17" s="9" t="s">
        <v>40</v>
      </c>
      <c r="F17" s="3">
        <v>2</v>
      </c>
      <c r="H17" s="9" t="s">
        <v>546</v>
      </c>
      <c r="I17" s="53">
        <v>1013823.8666666667</v>
      </c>
      <c r="N17" s="16" t="s">
        <v>589</v>
      </c>
      <c r="O17" t="s">
        <v>552</v>
      </c>
    </row>
    <row r="18" spans="1:18" x14ac:dyDescent="0.25">
      <c r="A18" s="43"/>
      <c r="B18" s="44"/>
      <c r="C18" s="45"/>
      <c r="E18" s="9" t="s">
        <v>14</v>
      </c>
      <c r="F18" s="3">
        <v>1</v>
      </c>
      <c r="H18" s="9" t="s">
        <v>547</v>
      </c>
      <c r="I18" s="53">
        <v>1370702.875</v>
      </c>
      <c r="K18" s="16" t="s">
        <v>583</v>
      </c>
      <c r="L18" t="s">
        <v>542</v>
      </c>
      <c r="N18" s="9" t="s">
        <v>25</v>
      </c>
      <c r="O18" s="14">
        <v>9.9999999999999992E-2</v>
      </c>
    </row>
    <row r="19" spans="1:18" x14ac:dyDescent="0.25">
      <c r="A19" s="43"/>
      <c r="B19" s="44"/>
      <c r="C19" s="45"/>
      <c r="E19" s="9" t="s">
        <v>52</v>
      </c>
      <c r="F19" s="3">
        <v>2</v>
      </c>
      <c r="H19" s="9" t="s">
        <v>456</v>
      </c>
      <c r="I19" s="53">
        <v>869836.02500000002</v>
      </c>
      <c r="K19" s="9" t="s">
        <v>16</v>
      </c>
      <c r="L19">
        <v>30</v>
      </c>
      <c r="N19" s="9" t="s">
        <v>57</v>
      </c>
      <c r="O19" s="14">
        <v>8.1666666666666665E-2</v>
      </c>
    </row>
    <row r="20" spans="1:18" x14ac:dyDescent="0.25">
      <c r="A20" s="43"/>
      <c r="B20" s="44"/>
      <c r="C20" s="45"/>
      <c r="E20" s="9" t="s">
        <v>22</v>
      </c>
      <c r="F20" s="3">
        <v>1</v>
      </c>
      <c r="K20" s="15" t="s">
        <v>17</v>
      </c>
      <c r="L20">
        <v>8</v>
      </c>
      <c r="N20" s="9" t="s">
        <v>32</v>
      </c>
      <c r="O20" s="14">
        <v>8.7999999999999995E-2</v>
      </c>
    </row>
    <row r="21" spans="1:18" x14ac:dyDescent="0.25">
      <c r="A21" s="43"/>
      <c r="B21" s="44"/>
      <c r="C21" s="45"/>
      <c r="E21" s="9" t="s">
        <v>456</v>
      </c>
      <c r="F21" s="3">
        <v>10</v>
      </c>
      <c r="H21" s="8" t="s">
        <v>10</v>
      </c>
      <c r="I21" t="s">
        <v>18</v>
      </c>
      <c r="K21" s="15" t="s">
        <v>29</v>
      </c>
      <c r="L21">
        <v>9</v>
      </c>
      <c r="N21" s="9" t="s">
        <v>40</v>
      </c>
      <c r="O21" s="14">
        <v>0.10200000000000001</v>
      </c>
    </row>
    <row r="22" spans="1:18" x14ac:dyDescent="0.25">
      <c r="A22" s="43"/>
      <c r="B22" s="44"/>
      <c r="C22" s="45"/>
      <c r="K22" s="15" t="s">
        <v>36</v>
      </c>
      <c r="L22">
        <v>13</v>
      </c>
      <c r="N22" s="9" t="s">
        <v>14</v>
      </c>
      <c r="O22" s="14">
        <v>0.10714285714285714</v>
      </c>
    </row>
    <row r="23" spans="1:18" x14ac:dyDescent="0.25">
      <c r="A23" s="43"/>
      <c r="B23" s="44"/>
      <c r="C23" s="45"/>
      <c r="E23" s="16" t="s">
        <v>586</v>
      </c>
      <c r="F23" s="3" t="s">
        <v>539</v>
      </c>
      <c r="H23" s="16" t="s">
        <v>587</v>
      </c>
      <c r="I23" t="s">
        <v>550</v>
      </c>
      <c r="K23" s="9" t="s">
        <v>27</v>
      </c>
      <c r="L23">
        <v>10</v>
      </c>
      <c r="N23" s="9" t="s">
        <v>52</v>
      </c>
      <c r="O23" s="14">
        <v>7.5000000000000011E-2</v>
      </c>
    </row>
    <row r="24" spans="1:18" x14ac:dyDescent="0.25">
      <c r="A24" s="43"/>
      <c r="B24" s="44"/>
      <c r="C24" s="45"/>
      <c r="E24" s="9" t="s">
        <v>540</v>
      </c>
      <c r="F24" s="3">
        <v>10</v>
      </c>
      <c r="H24" s="9" t="s">
        <v>25</v>
      </c>
      <c r="I24" s="14">
        <v>1</v>
      </c>
      <c r="K24" s="15" t="s">
        <v>17</v>
      </c>
      <c r="L24">
        <v>4</v>
      </c>
      <c r="N24" s="9" t="s">
        <v>22</v>
      </c>
      <c r="O24" s="14">
        <v>0.1142857142857143</v>
      </c>
    </row>
    <row r="25" spans="1:18" x14ac:dyDescent="0.25">
      <c r="A25" s="43"/>
      <c r="B25" s="44"/>
      <c r="C25" s="45"/>
      <c r="E25" s="9" t="s">
        <v>541</v>
      </c>
      <c r="F25" s="3">
        <v>7</v>
      </c>
      <c r="H25" s="9" t="s">
        <v>57</v>
      </c>
      <c r="I25" s="14">
        <v>0.85185185185185186</v>
      </c>
      <c r="K25" s="15" t="s">
        <v>29</v>
      </c>
      <c r="L25">
        <v>3</v>
      </c>
      <c r="N25" s="9" t="s">
        <v>456</v>
      </c>
      <c r="O25" s="14">
        <v>9.8500000000000004E-2</v>
      </c>
    </row>
    <row r="26" spans="1:18" x14ac:dyDescent="0.25">
      <c r="A26" s="43"/>
      <c r="B26" s="44"/>
      <c r="C26" s="45"/>
      <c r="E26" s="9" t="s">
        <v>371</v>
      </c>
      <c r="F26" s="3">
        <v>6</v>
      </c>
      <c r="H26" s="9" t="s">
        <v>32</v>
      </c>
      <c r="I26" s="14">
        <v>0.93333333333333335</v>
      </c>
      <c r="K26" s="15" t="s">
        <v>36</v>
      </c>
      <c r="L26">
        <v>3</v>
      </c>
    </row>
    <row r="27" spans="1:18" x14ac:dyDescent="0.25">
      <c r="A27" s="46"/>
      <c r="B27" s="47"/>
      <c r="C27" s="48"/>
      <c r="E27" s="9" t="s">
        <v>358</v>
      </c>
      <c r="F27" s="3">
        <v>7</v>
      </c>
      <c r="H27" s="9" t="s">
        <v>40</v>
      </c>
      <c r="I27" s="14">
        <v>0.84444444444444444</v>
      </c>
      <c r="K27" s="9" t="s">
        <v>456</v>
      </c>
      <c r="L27">
        <v>40</v>
      </c>
      <c r="N27" s="8" t="s">
        <v>10</v>
      </c>
      <c r="O27" t="s">
        <v>18</v>
      </c>
      <c r="Q27" s="8" t="s">
        <v>10</v>
      </c>
      <c r="R27" t="s">
        <v>18</v>
      </c>
    </row>
    <row r="28" spans="1:18" x14ac:dyDescent="0.25">
      <c r="E28" s="9" t="s">
        <v>456</v>
      </c>
      <c r="F28" s="3">
        <v>30</v>
      </c>
      <c r="H28" s="9" t="s">
        <v>14</v>
      </c>
      <c r="I28" s="14">
        <v>0.88888888888888884</v>
      </c>
    </row>
    <row r="29" spans="1:18" x14ac:dyDescent="0.25">
      <c r="H29" s="9" t="s">
        <v>52</v>
      </c>
      <c r="I29" s="14">
        <v>1</v>
      </c>
      <c r="N29" s="49" t="s">
        <v>643</v>
      </c>
      <c r="O29" t="s">
        <v>542</v>
      </c>
      <c r="Q29" s="49" t="s">
        <v>644</v>
      </c>
      <c r="R29" t="s">
        <v>542</v>
      </c>
    </row>
    <row r="30" spans="1:18" x14ac:dyDescent="0.25">
      <c r="E30" s="16" t="s">
        <v>10</v>
      </c>
      <c r="F30" t="s">
        <v>18</v>
      </c>
      <c r="H30" s="9" t="s">
        <v>22</v>
      </c>
      <c r="I30" s="14">
        <v>0.85714285714285721</v>
      </c>
      <c r="N30" s="9" t="s">
        <v>20</v>
      </c>
      <c r="O30">
        <v>16</v>
      </c>
      <c r="Q30" s="9" t="s">
        <v>20</v>
      </c>
      <c r="R30">
        <v>16</v>
      </c>
    </row>
    <row r="31" spans="1:18" x14ac:dyDescent="0.25">
      <c r="N31" s="9" t="s">
        <v>12</v>
      </c>
      <c r="O31">
        <v>24</v>
      </c>
      <c r="Q31" s="15" t="s">
        <v>25</v>
      </c>
      <c r="R31">
        <v>5</v>
      </c>
    </row>
    <row r="32" spans="1:18" x14ac:dyDescent="0.25">
      <c r="E32" t="s">
        <v>542</v>
      </c>
      <c r="H32" s="16" t="s">
        <v>555</v>
      </c>
      <c r="I32" t="s">
        <v>542</v>
      </c>
      <c r="N32" s="9" t="s">
        <v>456</v>
      </c>
      <c r="O32">
        <v>40</v>
      </c>
      <c r="Q32" s="15" t="s">
        <v>57</v>
      </c>
      <c r="R32">
        <v>2</v>
      </c>
    </row>
    <row r="33" spans="5:18" x14ac:dyDescent="0.25">
      <c r="E33">
        <v>40</v>
      </c>
      <c r="H33" s="9" t="s">
        <v>83</v>
      </c>
      <c r="I33">
        <v>10</v>
      </c>
      <c r="Q33" s="15" t="s">
        <v>32</v>
      </c>
      <c r="R33">
        <v>1</v>
      </c>
    </row>
    <row r="34" spans="5:18" x14ac:dyDescent="0.25">
      <c r="H34" s="9" t="s">
        <v>456</v>
      </c>
      <c r="I34">
        <v>10</v>
      </c>
      <c r="Q34" s="15" t="s">
        <v>40</v>
      </c>
      <c r="R34">
        <v>2</v>
      </c>
    </row>
    <row r="35" spans="5:18" x14ac:dyDescent="0.25">
      <c r="Q35" s="15" t="s">
        <v>14</v>
      </c>
      <c r="R35">
        <v>2</v>
      </c>
    </row>
    <row r="36" spans="5:18" x14ac:dyDescent="0.25">
      <c r="Q36" s="15" t="s">
        <v>22</v>
      </c>
      <c r="R36">
        <v>4</v>
      </c>
    </row>
    <row r="37" spans="5:18" x14ac:dyDescent="0.25">
      <c r="Q37" s="9" t="s">
        <v>12</v>
      </c>
      <c r="R37">
        <v>24</v>
      </c>
    </row>
    <row r="38" spans="5:18" x14ac:dyDescent="0.25">
      <c r="Q38" s="15" t="s">
        <v>25</v>
      </c>
      <c r="R38">
        <v>3</v>
      </c>
    </row>
    <row r="39" spans="5:18" x14ac:dyDescent="0.25">
      <c r="Q39" s="15" t="s">
        <v>57</v>
      </c>
      <c r="R39">
        <v>4</v>
      </c>
    </row>
    <row r="40" spans="5:18" x14ac:dyDescent="0.25">
      <c r="Q40" s="15" t="s">
        <v>32</v>
      </c>
      <c r="R40">
        <v>4</v>
      </c>
    </row>
    <row r="41" spans="5:18" x14ac:dyDescent="0.25">
      <c r="Q41" s="15" t="s">
        <v>40</v>
      </c>
      <c r="R41">
        <v>3</v>
      </c>
    </row>
    <row r="42" spans="5:18" x14ac:dyDescent="0.25">
      <c r="Q42" s="15" t="s">
        <v>14</v>
      </c>
      <c r="R42">
        <v>5</v>
      </c>
    </row>
    <row r="43" spans="5:18" x14ac:dyDescent="0.25">
      <c r="Q43" s="15" t="s">
        <v>52</v>
      </c>
      <c r="R43">
        <v>2</v>
      </c>
    </row>
    <row r="44" spans="5:18" x14ac:dyDescent="0.25">
      <c r="Q44" s="15" t="s">
        <v>22</v>
      </c>
      <c r="R44">
        <v>3</v>
      </c>
    </row>
    <row r="45" spans="5:18" x14ac:dyDescent="0.25">
      <c r="Q45" s="9" t="s">
        <v>456</v>
      </c>
      <c r="R45">
        <v>40</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BFEE5-C87E-4ABD-9EC9-5B1B21189A9C}">
  <dimension ref="F1:F7"/>
  <sheetViews>
    <sheetView showGridLines="0" tabSelected="1" zoomScale="90" zoomScaleNormal="90" workbookViewId="0">
      <selection activeCell="N33" sqref="N33"/>
    </sheetView>
  </sheetViews>
  <sheetFormatPr defaultRowHeight="15" x14ac:dyDescent="0.25"/>
  <cols>
    <col min="1" max="16384" width="9.140625" style="52"/>
  </cols>
  <sheetData>
    <row r="1" spans="6:6" s="55" customFormat="1" x14ac:dyDescent="0.25"/>
    <row r="2" spans="6:6" s="55" customFormat="1" x14ac:dyDescent="0.25"/>
    <row r="3" spans="6:6" s="55" customFormat="1" x14ac:dyDescent="0.25"/>
    <row r="7" spans="6:6" x14ac:dyDescent="0.25">
      <c r="F7" s="52">
        <f>'HR ANALYTICS '!B2</f>
        <v>0</v>
      </c>
    </row>
  </sheetData>
  <mergeCells count="1">
    <mergeCell ref="A1:XFD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CC8DC-11EE-4B83-87D7-FD0B0A706391}">
  <dimension ref="B2:H15"/>
  <sheetViews>
    <sheetView workbookViewId="0">
      <selection activeCell="E15" sqref="E15"/>
    </sheetView>
  </sheetViews>
  <sheetFormatPr defaultRowHeight="15" x14ac:dyDescent="0.25"/>
  <cols>
    <col min="2" max="2" width="19.85546875" bestFit="1" customWidth="1"/>
    <col min="3" max="3" width="12.5703125" bestFit="1" customWidth="1"/>
    <col min="4" max="4" width="11.7109375" bestFit="1" customWidth="1"/>
    <col min="5" max="5" width="36.85546875" bestFit="1" customWidth="1"/>
    <col min="6" max="6" width="11" bestFit="1" customWidth="1"/>
    <col min="7" max="7" width="16.42578125" bestFit="1" customWidth="1"/>
    <col min="8" max="8" width="7.42578125" bestFit="1" customWidth="1"/>
  </cols>
  <sheetData>
    <row r="2" spans="2:8" x14ac:dyDescent="0.25">
      <c r="D2" t="s">
        <v>575</v>
      </c>
    </row>
    <row r="3" spans="2:8" x14ac:dyDescent="0.25">
      <c r="B3" s="26" t="s">
        <v>553</v>
      </c>
      <c r="C3" s="36"/>
      <c r="D3" s="27" t="s">
        <v>556</v>
      </c>
      <c r="E3" s="27" t="s">
        <v>557</v>
      </c>
      <c r="F3" s="28"/>
      <c r="G3" s="28"/>
      <c r="H3" s="29"/>
    </row>
    <row r="4" spans="2:8" x14ac:dyDescent="0.25">
      <c r="B4" s="30" t="s">
        <v>529</v>
      </c>
      <c r="C4" s="19" t="s">
        <v>558</v>
      </c>
      <c r="D4" s="19" t="s">
        <v>6</v>
      </c>
      <c r="E4" s="51" t="s">
        <v>559</v>
      </c>
      <c r="F4" s="19" t="s">
        <v>558</v>
      </c>
      <c r="G4" s="19"/>
      <c r="H4" s="31"/>
    </row>
    <row r="5" spans="2:8" x14ac:dyDescent="0.25">
      <c r="B5" s="30" t="s">
        <v>530</v>
      </c>
      <c r="C5" s="19" t="s">
        <v>558</v>
      </c>
      <c r="D5" s="19" t="s">
        <v>2</v>
      </c>
      <c r="E5" s="51" t="s">
        <v>560</v>
      </c>
      <c r="F5" s="19" t="s">
        <v>558</v>
      </c>
      <c r="G5" s="19"/>
      <c r="H5" s="31"/>
    </row>
    <row r="6" spans="2:8" x14ac:dyDescent="0.25">
      <c r="B6" s="30" t="s">
        <v>531</v>
      </c>
      <c r="C6" s="19" t="s">
        <v>573</v>
      </c>
      <c r="D6" s="19"/>
      <c r="E6" s="51" t="s">
        <v>561</v>
      </c>
      <c r="F6" s="19" t="s">
        <v>562</v>
      </c>
      <c r="G6" s="19"/>
      <c r="H6" s="31"/>
    </row>
    <row r="7" spans="2:8" x14ac:dyDescent="0.25">
      <c r="B7" s="30" t="s">
        <v>532</v>
      </c>
      <c r="C7" s="19" t="s">
        <v>565</v>
      </c>
      <c r="D7" s="19"/>
      <c r="E7" s="51" t="s">
        <v>563</v>
      </c>
      <c r="F7" s="19" t="s">
        <v>558</v>
      </c>
      <c r="G7" s="19"/>
      <c r="H7" s="31"/>
    </row>
    <row r="8" spans="2:8" x14ac:dyDescent="0.25">
      <c r="B8" s="30" t="s">
        <v>533</v>
      </c>
      <c r="C8" s="19" t="s">
        <v>573</v>
      </c>
      <c r="D8" s="19"/>
      <c r="E8" s="51" t="s">
        <v>564</v>
      </c>
      <c r="F8" s="19" t="s">
        <v>565</v>
      </c>
      <c r="G8" s="19"/>
      <c r="H8" s="31"/>
    </row>
    <row r="9" spans="2:8" x14ac:dyDescent="0.25">
      <c r="B9" s="30" t="s">
        <v>574</v>
      </c>
      <c r="C9" s="19" t="s">
        <v>558</v>
      </c>
      <c r="D9" s="19"/>
      <c r="E9" s="51" t="s">
        <v>566</v>
      </c>
      <c r="F9" s="19" t="s">
        <v>567</v>
      </c>
      <c r="G9" s="19"/>
      <c r="H9" s="31"/>
    </row>
    <row r="10" spans="2:8" x14ac:dyDescent="0.25">
      <c r="B10" s="32"/>
      <c r="D10" s="19"/>
      <c r="E10" s="51" t="s">
        <v>568</v>
      </c>
      <c r="F10" s="19" t="s">
        <v>569</v>
      </c>
      <c r="G10" s="19" t="s">
        <v>17</v>
      </c>
      <c r="H10" s="31" t="s">
        <v>558</v>
      </c>
    </row>
    <row r="11" spans="2:8" x14ac:dyDescent="0.25">
      <c r="B11" s="32"/>
      <c r="D11" s="19"/>
      <c r="E11" s="19"/>
      <c r="F11" s="19" t="s">
        <v>27</v>
      </c>
      <c r="G11" s="19" t="s">
        <v>29</v>
      </c>
      <c r="H11" s="31"/>
    </row>
    <row r="12" spans="2:8" x14ac:dyDescent="0.25">
      <c r="B12" s="32"/>
      <c r="D12" s="19"/>
      <c r="E12" s="19"/>
      <c r="F12" s="19"/>
      <c r="G12" s="19" t="s">
        <v>570</v>
      </c>
      <c r="H12" s="31"/>
    </row>
    <row r="13" spans="2:8" x14ac:dyDescent="0.25">
      <c r="B13" s="32"/>
      <c r="D13" s="19"/>
      <c r="E13" s="38" t="s">
        <v>571</v>
      </c>
      <c r="F13" s="19" t="s">
        <v>567</v>
      </c>
      <c r="G13" s="19"/>
      <c r="H13" s="31"/>
    </row>
    <row r="14" spans="2:8" x14ac:dyDescent="0.25">
      <c r="B14" s="33"/>
      <c r="C14" s="37"/>
      <c r="D14" s="34"/>
      <c r="E14" s="39" t="s">
        <v>572</v>
      </c>
      <c r="F14" s="34" t="s">
        <v>567</v>
      </c>
      <c r="G14" s="34"/>
      <c r="H14" s="35"/>
    </row>
    <row r="15" spans="2:8" x14ac:dyDescent="0.25">
      <c r="E15" t="s">
        <v>646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E3E73-FB62-473F-9C06-5A15400E2E84}">
  <dimension ref="A1:K51"/>
  <sheetViews>
    <sheetView workbookViewId="0">
      <selection activeCell="H13" sqref="H13"/>
    </sheetView>
  </sheetViews>
  <sheetFormatPr defaultRowHeight="15" x14ac:dyDescent="0.25"/>
  <cols>
    <col min="1" max="1" width="7.7109375" bestFit="1" customWidth="1"/>
    <col min="2" max="2" width="12.28515625" bestFit="1" customWidth="1"/>
    <col min="3" max="3" width="7.7109375" bestFit="1" customWidth="1"/>
    <col min="4" max="5" width="10.7109375" bestFit="1" customWidth="1"/>
    <col min="6" max="6" width="11.140625" bestFit="1" customWidth="1"/>
    <col min="7" max="7" width="11.7109375" bestFit="1" customWidth="1"/>
    <col min="8" max="8" width="17.5703125" bestFit="1" customWidth="1"/>
    <col min="9" max="9" width="15.28515625" bestFit="1" customWidth="1"/>
    <col min="10" max="10" width="19.85546875" bestFit="1" customWidth="1"/>
    <col min="11" max="11" width="19" style="3" bestFit="1" customWidth="1"/>
    <col min="13" max="13" width="16.85546875" customWidth="1"/>
  </cols>
  <sheetData>
    <row r="1" spans="1:11" ht="15.75" thickBot="1" x14ac:dyDescent="0.3">
      <c r="A1" s="3" t="s">
        <v>0</v>
      </c>
      <c r="B1" s="3" t="s">
        <v>1</v>
      </c>
      <c r="C1" t="s">
        <v>2</v>
      </c>
      <c r="D1" t="s">
        <v>3</v>
      </c>
      <c r="E1" t="s">
        <v>4</v>
      </c>
      <c r="F1" t="s">
        <v>5</v>
      </c>
      <c r="G1" t="s">
        <v>6</v>
      </c>
      <c r="H1" t="s">
        <v>7</v>
      </c>
      <c r="I1" t="s">
        <v>8</v>
      </c>
      <c r="J1" t="s">
        <v>9</v>
      </c>
      <c r="K1" s="3" t="s">
        <v>10</v>
      </c>
    </row>
    <row r="2" spans="1:11" ht="15.75" thickBot="1" x14ac:dyDescent="0.3">
      <c r="A2" s="3" t="s">
        <v>11</v>
      </c>
      <c r="B2" s="4" t="s">
        <v>590</v>
      </c>
      <c r="C2" t="s">
        <v>12</v>
      </c>
      <c r="D2" s="1">
        <v>31040</v>
      </c>
      <c r="E2" s="1">
        <v>45144</v>
      </c>
      <c r="F2" t="s">
        <v>13</v>
      </c>
      <c r="G2" t="s">
        <v>14</v>
      </c>
      <c r="H2" t="s">
        <v>15</v>
      </c>
      <c r="I2" t="s">
        <v>16</v>
      </c>
      <c r="J2" t="s">
        <v>17</v>
      </c>
      <c r="K2" s="3" t="s">
        <v>18</v>
      </c>
    </row>
    <row r="3" spans="1:11" ht="15.75" thickBot="1" x14ac:dyDescent="0.3">
      <c r="A3" s="3" t="s">
        <v>19</v>
      </c>
      <c r="B3" s="4" t="s">
        <v>591</v>
      </c>
      <c r="C3" t="s">
        <v>20</v>
      </c>
      <c r="D3" s="1">
        <v>36448</v>
      </c>
      <c r="E3" s="1">
        <v>44877</v>
      </c>
      <c r="F3" t="s">
        <v>21</v>
      </c>
      <c r="G3" t="s">
        <v>22</v>
      </c>
      <c r="H3" t="s">
        <v>23</v>
      </c>
      <c r="I3" t="s">
        <v>16</v>
      </c>
      <c r="J3" t="s">
        <v>17</v>
      </c>
      <c r="K3" s="3" t="s">
        <v>18</v>
      </c>
    </row>
    <row r="4" spans="1:11" ht="15.75" thickBot="1" x14ac:dyDescent="0.3">
      <c r="A4" s="3" t="s">
        <v>24</v>
      </c>
      <c r="B4" s="4" t="s">
        <v>592</v>
      </c>
      <c r="C4" t="s">
        <v>12</v>
      </c>
      <c r="D4" s="1">
        <v>37027</v>
      </c>
      <c r="E4" s="1">
        <v>44586</v>
      </c>
      <c r="F4" t="s">
        <v>13</v>
      </c>
      <c r="G4" t="s">
        <v>25</v>
      </c>
      <c r="H4" t="s">
        <v>26</v>
      </c>
      <c r="I4" t="s">
        <v>27</v>
      </c>
      <c r="J4" t="s">
        <v>17</v>
      </c>
      <c r="K4" s="3" t="s">
        <v>18</v>
      </c>
    </row>
    <row r="5" spans="1:11" ht="15.75" thickBot="1" x14ac:dyDescent="0.3">
      <c r="A5" s="3" t="s">
        <v>28</v>
      </c>
      <c r="B5" s="4" t="s">
        <v>593</v>
      </c>
      <c r="C5" t="s">
        <v>12</v>
      </c>
      <c r="D5" s="1">
        <v>34821</v>
      </c>
      <c r="E5" s="1">
        <v>44816</v>
      </c>
      <c r="F5" t="s">
        <v>21</v>
      </c>
      <c r="G5" t="s">
        <v>22</v>
      </c>
      <c r="H5" t="s">
        <v>23</v>
      </c>
      <c r="I5" t="s">
        <v>16</v>
      </c>
      <c r="J5" t="s">
        <v>29</v>
      </c>
      <c r="K5" s="3" t="s">
        <v>18</v>
      </c>
    </row>
    <row r="6" spans="1:11" ht="15.75" thickBot="1" x14ac:dyDescent="0.3">
      <c r="A6" s="3" t="s">
        <v>30</v>
      </c>
      <c r="B6" s="4" t="s">
        <v>594</v>
      </c>
      <c r="C6" t="s">
        <v>12</v>
      </c>
      <c r="D6" s="1">
        <v>34166</v>
      </c>
      <c r="E6" s="1">
        <v>43964</v>
      </c>
      <c r="F6" t="s">
        <v>31</v>
      </c>
      <c r="G6" t="s">
        <v>32</v>
      </c>
      <c r="H6" t="s">
        <v>15</v>
      </c>
      <c r="I6" t="s">
        <v>16</v>
      </c>
      <c r="J6" t="s">
        <v>29</v>
      </c>
      <c r="K6" s="3" t="s">
        <v>18</v>
      </c>
    </row>
    <row r="7" spans="1:11" ht="15.75" thickBot="1" x14ac:dyDescent="0.3">
      <c r="A7" s="3" t="s">
        <v>33</v>
      </c>
      <c r="B7" s="4" t="s">
        <v>595</v>
      </c>
      <c r="C7" t="s">
        <v>20</v>
      </c>
      <c r="D7" s="1">
        <v>35505</v>
      </c>
      <c r="E7" s="1">
        <v>43899</v>
      </c>
      <c r="F7" t="s">
        <v>34</v>
      </c>
      <c r="G7" t="s">
        <v>14</v>
      </c>
      <c r="H7" t="s">
        <v>35</v>
      </c>
      <c r="I7" t="s">
        <v>16</v>
      </c>
      <c r="J7" t="s">
        <v>36</v>
      </c>
      <c r="K7" s="3" t="s">
        <v>18</v>
      </c>
    </row>
    <row r="8" spans="1:11" ht="15.75" thickBot="1" x14ac:dyDescent="0.3">
      <c r="A8" s="3" t="s">
        <v>37</v>
      </c>
      <c r="B8" s="4" t="s">
        <v>596</v>
      </c>
      <c r="C8" t="s">
        <v>12</v>
      </c>
      <c r="D8" s="1">
        <v>30181</v>
      </c>
      <c r="E8" s="1">
        <v>44186</v>
      </c>
      <c r="F8" t="s">
        <v>38</v>
      </c>
      <c r="G8" t="s">
        <v>32</v>
      </c>
      <c r="H8" t="s">
        <v>15</v>
      </c>
      <c r="I8" t="s">
        <v>16</v>
      </c>
      <c r="J8" t="s">
        <v>17</v>
      </c>
      <c r="K8" s="3" t="s">
        <v>18</v>
      </c>
    </row>
    <row r="9" spans="1:11" ht="15.75" thickBot="1" x14ac:dyDescent="0.3">
      <c r="A9" s="3" t="s">
        <v>39</v>
      </c>
      <c r="B9" s="4" t="s">
        <v>597</v>
      </c>
      <c r="C9" t="s">
        <v>20</v>
      </c>
      <c r="D9" s="1">
        <v>31113</v>
      </c>
      <c r="E9" s="1">
        <v>44873</v>
      </c>
      <c r="F9" t="s">
        <v>38</v>
      </c>
      <c r="G9" t="s">
        <v>40</v>
      </c>
      <c r="H9" t="s">
        <v>41</v>
      </c>
      <c r="I9" t="s">
        <v>16</v>
      </c>
      <c r="J9" t="s">
        <v>29</v>
      </c>
      <c r="K9" s="3" t="s">
        <v>18</v>
      </c>
    </row>
    <row r="10" spans="1:11" ht="15.75" thickBot="1" x14ac:dyDescent="0.3">
      <c r="A10" s="3" t="s">
        <v>42</v>
      </c>
      <c r="B10" s="4" t="s">
        <v>598</v>
      </c>
      <c r="C10" t="s">
        <v>12</v>
      </c>
      <c r="D10" s="1">
        <v>31726</v>
      </c>
      <c r="E10" s="1">
        <v>45128</v>
      </c>
      <c r="F10" t="s">
        <v>43</v>
      </c>
      <c r="G10" t="s">
        <v>22</v>
      </c>
      <c r="H10" t="s">
        <v>44</v>
      </c>
      <c r="I10" t="s">
        <v>16</v>
      </c>
      <c r="J10" t="s">
        <v>29</v>
      </c>
      <c r="K10" s="3" t="s">
        <v>18</v>
      </c>
    </row>
    <row r="11" spans="1:11" ht="15.75" thickBot="1" x14ac:dyDescent="0.3">
      <c r="A11" s="3" t="s">
        <v>45</v>
      </c>
      <c r="B11" s="4" t="s">
        <v>599</v>
      </c>
      <c r="C11" t="s">
        <v>20</v>
      </c>
      <c r="D11" s="1">
        <v>34725</v>
      </c>
      <c r="E11" s="1">
        <v>44730</v>
      </c>
      <c r="F11" t="s">
        <v>34</v>
      </c>
      <c r="G11" t="s">
        <v>14</v>
      </c>
      <c r="H11" t="s">
        <v>46</v>
      </c>
      <c r="I11" t="s">
        <v>16</v>
      </c>
      <c r="J11" t="s">
        <v>36</v>
      </c>
      <c r="K11" s="3" t="s">
        <v>18</v>
      </c>
    </row>
    <row r="12" spans="1:11" ht="15.75" thickBot="1" x14ac:dyDescent="0.3">
      <c r="A12" s="3" t="s">
        <v>47</v>
      </c>
      <c r="B12" s="4" t="s">
        <v>600</v>
      </c>
      <c r="C12" t="s">
        <v>12</v>
      </c>
      <c r="D12" s="1">
        <v>36127</v>
      </c>
      <c r="E12" s="1">
        <v>45158</v>
      </c>
      <c r="F12" t="s">
        <v>43</v>
      </c>
      <c r="G12" t="s">
        <v>14</v>
      </c>
      <c r="H12" t="s">
        <v>23</v>
      </c>
      <c r="I12" t="s">
        <v>16</v>
      </c>
      <c r="J12" t="s">
        <v>36</v>
      </c>
      <c r="K12" s="3" t="s">
        <v>18</v>
      </c>
    </row>
    <row r="13" spans="1:11" ht="15.75" thickBot="1" x14ac:dyDescent="0.3">
      <c r="A13" s="3" t="s">
        <v>48</v>
      </c>
      <c r="B13" s="4" t="s">
        <v>601</v>
      </c>
      <c r="C13" t="s">
        <v>20</v>
      </c>
      <c r="D13" s="1">
        <v>35431</v>
      </c>
      <c r="E13" s="1">
        <v>44375</v>
      </c>
      <c r="F13" t="s">
        <v>38</v>
      </c>
      <c r="G13" t="s">
        <v>25</v>
      </c>
      <c r="H13" t="s">
        <v>49</v>
      </c>
      <c r="I13" t="s">
        <v>16</v>
      </c>
      <c r="J13" t="s">
        <v>29</v>
      </c>
      <c r="K13" s="3" t="s">
        <v>18</v>
      </c>
    </row>
    <row r="14" spans="1:11" ht="15.75" thickBot="1" x14ac:dyDescent="0.3">
      <c r="A14" s="3" t="s">
        <v>50</v>
      </c>
      <c r="B14" s="4" t="s">
        <v>602</v>
      </c>
      <c r="C14" t="s">
        <v>12</v>
      </c>
      <c r="D14" s="1">
        <v>35480</v>
      </c>
      <c r="E14" s="1">
        <v>44779</v>
      </c>
      <c r="F14" t="s">
        <v>21</v>
      </c>
      <c r="G14" t="s">
        <v>40</v>
      </c>
      <c r="H14" t="s">
        <v>35</v>
      </c>
      <c r="I14" t="s">
        <v>16</v>
      </c>
      <c r="J14" t="s">
        <v>29</v>
      </c>
      <c r="K14" s="3" t="s">
        <v>18</v>
      </c>
    </row>
    <row r="15" spans="1:11" ht="15.75" thickBot="1" x14ac:dyDescent="0.3">
      <c r="A15" s="3" t="s">
        <v>51</v>
      </c>
      <c r="B15" s="4" t="s">
        <v>603</v>
      </c>
      <c r="C15" t="s">
        <v>12</v>
      </c>
      <c r="D15" s="1">
        <v>34163</v>
      </c>
      <c r="E15" s="1">
        <v>44948</v>
      </c>
      <c r="F15" t="s">
        <v>38</v>
      </c>
      <c r="G15" t="s">
        <v>52</v>
      </c>
      <c r="H15" t="s">
        <v>41</v>
      </c>
      <c r="I15" t="s">
        <v>16</v>
      </c>
      <c r="J15" t="s">
        <v>17</v>
      </c>
      <c r="K15" s="3" t="s">
        <v>18</v>
      </c>
    </row>
    <row r="16" spans="1:11" ht="15.75" thickBot="1" x14ac:dyDescent="0.3">
      <c r="A16" s="3" t="s">
        <v>53</v>
      </c>
      <c r="B16" s="4" t="s">
        <v>604</v>
      </c>
      <c r="C16" t="s">
        <v>12</v>
      </c>
      <c r="D16" s="1">
        <v>31926</v>
      </c>
      <c r="E16" s="1">
        <v>44843</v>
      </c>
      <c r="F16" t="s">
        <v>13</v>
      </c>
      <c r="G16" t="s">
        <v>14</v>
      </c>
      <c r="H16" t="s">
        <v>26</v>
      </c>
      <c r="I16" t="s">
        <v>16</v>
      </c>
      <c r="J16" t="s">
        <v>36</v>
      </c>
      <c r="K16" s="3" t="s">
        <v>18</v>
      </c>
    </row>
    <row r="17" spans="1:11" ht="15.75" thickBot="1" x14ac:dyDescent="0.3">
      <c r="A17" s="3" t="s">
        <v>54</v>
      </c>
      <c r="B17" s="4" t="s">
        <v>605</v>
      </c>
      <c r="C17" t="s">
        <v>12</v>
      </c>
      <c r="D17" s="1">
        <v>31052</v>
      </c>
      <c r="E17" s="1">
        <v>43895</v>
      </c>
      <c r="F17" t="s">
        <v>38</v>
      </c>
      <c r="G17" t="s">
        <v>40</v>
      </c>
      <c r="H17" t="s">
        <v>49</v>
      </c>
      <c r="I17" t="s">
        <v>16</v>
      </c>
      <c r="J17" t="s">
        <v>17</v>
      </c>
      <c r="K17" s="3" t="s">
        <v>18</v>
      </c>
    </row>
    <row r="18" spans="1:11" ht="15.75" thickBot="1" x14ac:dyDescent="0.3">
      <c r="A18" s="3" t="s">
        <v>55</v>
      </c>
      <c r="B18" s="4" t="s">
        <v>606</v>
      </c>
      <c r="C18" t="s">
        <v>20</v>
      </c>
      <c r="D18" s="1">
        <v>36503</v>
      </c>
      <c r="E18" s="1">
        <v>44858</v>
      </c>
      <c r="F18" t="s">
        <v>56</v>
      </c>
      <c r="G18" t="s">
        <v>57</v>
      </c>
      <c r="H18" t="s">
        <v>23</v>
      </c>
      <c r="I18" t="s">
        <v>16</v>
      </c>
      <c r="J18" t="s">
        <v>29</v>
      </c>
      <c r="K18" s="3" t="s">
        <v>18</v>
      </c>
    </row>
    <row r="19" spans="1:11" ht="15.75" thickBot="1" x14ac:dyDescent="0.3">
      <c r="A19" s="3" t="s">
        <v>58</v>
      </c>
      <c r="B19" s="4" t="s">
        <v>607</v>
      </c>
      <c r="C19" t="s">
        <v>20</v>
      </c>
      <c r="D19" s="1">
        <v>33871</v>
      </c>
      <c r="E19" s="1">
        <v>44198</v>
      </c>
      <c r="F19" t="s">
        <v>13</v>
      </c>
      <c r="G19" t="s">
        <v>32</v>
      </c>
      <c r="H19" t="s">
        <v>46</v>
      </c>
      <c r="I19" t="s">
        <v>16</v>
      </c>
      <c r="J19" t="s">
        <v>36</v>
      </c>
      <c r="K19" s="3" t="s">
        <v>18</v>
      </c>
    </row>
    <row r="20" spans="1:11" ht="15.75" thickBot="1" x14ac:dyDescent="0.3">
      <c r="A20" s="3" t="s">
        <v>59</v>
      </c>
      <c r="B20" s="4" t="s">
        <v>608</v>
      </c>
      <c r="C20" t="s">
        <v>12</v>
      </c>
      <c r="D20" s="1">
        <v>33457</v>
      </c>
      <c r="E20" s="1">
        <v>44937</v>
      </c>
      <c r="F20" t="s">
        <v>31</v>
      </c>
      <c r="G20" t="s">
        <v>40</v>
      </c>
      <c r="H20" t="s">
        <v>44</v>
      </c>
      <c r="I20" t="s">
        <v>16</v>
      </c>
      <c r="J20" t="s">
        <v>36</v>
      </c>
      <c r="K20" s="3" t="s">
        <v>18</v>
      </c>
    </row>
    <row r="21" spans="1:11" ht="15.75" thickBot="1" x14ac:dyDescent="0.3">
      <c r="A21" s="3" t="s">
        <v>60</v>
      </c>
      <c r="B21" s="4" t="s">
        <v>609</v>
      </c>
      <c r="C21" t="s">
        <v>12</v>
      </c>
      <c r="D21" s="1">
        <v>31411</v>
      </c>
      <c r="E21" s="1">
        <v>44260</v>
      </c>
      <c r="F21" t="s">
        <v>31</v>
      </c>
      <c r="G21" t="s">
        <v>22</v>
      </c>
      <c r="H21" t="s">
        <v>46</v>
      </c>
      <c r="I21" t="s">
        <v>27</v>
      </c>
      <c r="J21" t="s">
        <v>36</v>
      </c>
      <c r="K21" s="3" t="s">
        <v>18</v>
      </c>
    </row>
    <row r="22" spans="1:11" ht="15.75" thickBot="1" x14ac:dyDescent="0.3">
      <c r="A22" s="3" t="s">
        <v>61</v>
      </c>
      <c r="B22" s="4" t="s">
        <v>610</v>
      </c>
      <c r="C22" t="s">
        <v>12</v>
      </c>
      <c r="D22" s="1">
        <v>29937</v>
      </c>
      <c r="E22" s="1">
        <v>44169</v>
      </c>
      <c r="F22" t="s">
        <v>13</v>
      </c>
      <c r="G22" t="s">
        <v>25</v>
      </c>
      <c r="H22" t="s">
        <v>41</v>
      </c>
      <c r="I22" t="s">
        <v>27</v>
      </c>
      <c r="J22" t="s">
        <v>17</v>
      </c>
      <c r="K22" s="3" t="s">
        <v>18</v>
      </c>
    </row>
    <row r="23" spans="1:11" ht="15.75" thickBot="1" x14ac:dyDescent="0.3">
      <c r="A23" s="3" t="s">
        <v>62</v>
      </c>
      <c r="B23" s="4" t="s">
        <v>611</v>
      </c>
      <c r="C23" t="s">
        <v>12</v>
      </c>
      <c r="D23" s="1">
        <v>30424</v>
      </c>
      <c r="E23" s="1">
        <v>44017</v>
      </c>
      <c r="F23" t="s">
        <v>21</v>
      </c>
      <c r="G23" t="s">
        <v>57</v>
      </c>
      <c r="H23" t="s">
        <v>26</v>
      </c>
      <c r="I23" t="s">
        <v>16</v>
      </c>
      <c r="J23" t="s">
        <v>17</v>
      </c>
      <c r="K23" s="3" t="s">
        <v>18</v>
      </c>
    </row>
    <row r="24" spans="1:11" ht="15.75" thickBot="1" x14ac:dyDescent="0.3">
      <c r="A24" s="3" t="s">
        <v>63</v>
      </c>
      <c r="B24" s="4" t="s">
        <v>612</v>
      </c>
      <c r="C24" t="s">
        <v>12</v>
      </c>
      <c r="D24" s="1">
        <v>37154</v>
      </c>
      <c r="E24" s="1">
        <v>44860</v>
      </c>
      <c r="F24" t="s">
        <v>21</v>
      </c>
      <c r="G24" t="s">
        <v>57</v>
      </c>
      <c r="H24" t="s">
        <v>44</v>
      </c>
      <c r="I24" t="s">
        <v>16</v>
      </c>
      <c r="J24" t="s">
        <v>29</v>
      </c>
      <c r="K24" s="3" t="s">
        <v>18</v>
      </c>
    </row>
    <row r="25" spans="1:11" ht="15.75" thickBot="1" x14ac:dyDescent="0.3">
      <c r="A25" s="3" t="s">
        <v>64</v>
      </c>
      <c r="B25" s="4" t="s">
        <v>613</v>
      </c>
      <c r="C25" t="s">
        <v>20</v>
      </c>
      <c r="D25" s="1">
        <v>33617</v>
      </c>
      <c r="E25" s="1">
        <v>44224</v>
      </c>
      <c r="F25" t="s">
        <v>31</v>
      </c>
      <c r="G25" t="s">
        <v>22</v>
      </c>
      <c r="H25" t="s">
        <v>44</v>
      </c>
      <c r="I25" t="s">
        <v>16</v>
      </c>
      <c r="J25" t="s">
        <v>36</v>
      </c>
      <c r="K25" s="3" t="s">
        <v>18</v>
      </c>
    </row>
    <row r="26" spans="1:11" ht="15.75" thickBot="1" x14ac:dyDescent="0.3">
      <c r="A26" s="3" t="s">
        <v>65</v>
      </c>
      <c r="B26" s="4" t="s">
        <v>614</v>
      </c>
      <c r="C26" t="s">
        <v>20</v>
      </c>
      <c r="D26" s="1">
        <v>34054</v>
      </c>
      <c r="E26" s="1">
        <v>45036</v>
      </c>
      <c r="F26" t="s">
        <v>21</v>
      </c>
      <c r="G26" t="s">
        <v>40</v>
      </c>
      <c r="H26" t="s">
        <v>15</v>
      </c>
      <c r="I26" t="s">
        <v>16</v>
      </c>
      <c r="J26" t="s">
        <v>36</v>
      </c>
      <c r="K26" s="3" t="s">
        <v>18</v>
      </c>
    </row>
    <row r="27" spans="1:11" ht="15.75" thickBot="1" x14ac:dyDescent="0.3">
      <c r="A27" s="3" t="s">
        <v>66</v>
      </c>
      <c r="B27" s="4" t="s">
        <v>615</v>
      </c>
      <c r="C27" t="s">
        <v>12</v>
      </c>
      <c r="D27" s="1">
        <v>35309</v>
      </c>
      <c r="E27" s="1">
        <v>44533</v>
      </c>
      <c r="F27" t="s">
        <v>21</v>
      </c>
      <c r="G27" t="s">
        <v>32</v>
      </c>
      <c r="H27" t="s">
        <v>23</v>
      </c>
      <c r="I27" t="s">
        <v>27</v>
      </c>
      <c r="J27" t="s">
        <v>17</v>
      </c>
      <c r="K27" s="3" t="s">
        <v>18</v>
      </c>
    </row>
    <row r="28" spans="1:11" ht="15.75" thickBot="1" x14ac:dyDescent="0.3">
      <c r="A28" s="3" t="s">
        <v>67</v>
      </c>
      <c r="B28" s="4" t="s">
        <v>616</v>
      </c>
      <c r="C28" t="s">
        <v>20</v>
      </c>
      <c r="D28" s="1">
        <v>30342</v>
      </c>
      <c r="E28" s="1">
        <v>44935</v>
      </c>
      <c r="F28" t="s">
        <v>31</v>
      </c>
      <c r="G28" t="s">
        <v>57</v>
      </c>
      <c r="H28" t="s">
        <v>35</v>
      </c>
      <c r="I28" t="s">
        <v>27</v>
      </c>
      <c r="J28" t="s">
        <v>29</v>
      </c>
      <c r="K28" s="3" t="s">
        <v>18</v>
      </c>
    </row>
    <row r="29" spans="1:11" ht="15.75" thickBot="1" x14ac:dyDescent="0.3">
      <c r="A29" s="3" t="s">
        <v>68</v>
      </c>
      <c r="B29" s="4" t="s">
        <v>617</v>
      </c>
      <c r="C29" t="s">
        <v>20</v>
      </c>
      <c r="D29" s="1">
        <v>34537</v>
      </c>
      <c r="E29" s="1">
        <v>44087</v>
      </c>
      <c r="F29" t="s">
        <v>38</v>
      </c>
      <c r="G29" t="s">
        <v>25</v>
      </c>
      <c r="H29" t="s">
        <v>35</v>
      </c>
      <c r="I29" t="s">
        <v>27</v>
      </c>
      <c r="J29" t="s">
        <v>17</v>
      </c>
      <c r="K29" s="3" t="s">
        <v>18</v>
      </c>
    </row>
    <row r="30" spans="1:11" ht="15.75" thickBot="1" x14ac:dyDescent="0.3">
      <c r="A30" s="3" t="s">
        <v>69</v>
      </c>
      <c r="B30" s="4" t="s">
        <v>618</v>
      </c>
      <c r="C30" t="s">
        <v>12</v>
      </c>
      <c r="D30" s="1">
        <v>30181</v>
      </c>
      <c r="E30" s="1">
        <v>44529</v>
      </c>
      <c r="F30" t="s">
        <v>38</v>
      </c>
      <c r="G30" t="s">
        <v>57</v>
      </c>
      <c r="H30" t="s">
        <v>26</v>
      </c>
      <c r="I30" t="s">
        <v>27</v>
      </c>
      <c r="J30" t="s">
        <v>36</v>
      </c>
      <c r="K30" s="3" t="s">
        <v>18</v>
      </c>
    </row>
    <row r="31" spans="1:11" ht="15.75" thickBot="1" x14ac:dyDescent="0.3">
      <c r="A31" s="3" t="s">
        <v>70</v>
      </c>
      <c r="B31" s="4" t="s">
        <v>619</v>
      </c>
      <c r="C31" t="s">
        <v>20</v>
      </c>
      <c r="D31" s="1">
        <v>33042</v>
      </c>
      <c r="E31" s="1">
        <v>44184</v>
      </c>
      <c r="F31" t="s">
        <v>31</v>
      </c>
      <c r="G31" t="s">
        <v>25</v>
      </c>
      <c r="H31" t="s">
        <v>49</v>
      </c>
      <c r="I31" t="s">
        <v>27</v>
      </c>
      <c r="J31" t="s">
        <v>36</v>
      </c>
      <c r="K31" s="3" t="s">
        <v>18</v>
      </c>
    </row>
    <row r="32" spans="1:11" ht="15.75" thickBot="1" x14ac:dyDescent="0.3">
      <c r="A32" s="3" t="s">
        <v>71</v>
      </c>
      <c r="B32" s="4" t="s">
        <v>620</v>
      </c>
      <c r="C32" t="s">
        <v>12</v>
      </c>
      <c r="D32" s="1">
        <v>30098</v>
      </c>
      <c r="E32" s="1">
        <v>44578</v>
      </c>
      <c r="F32" t="s">
        <v>56</v>
      </c>
      <c r="G32" t="s">
        <v>57</v>
      </c>
      <c r="H32" t="s">
        <v>44</v>
      </c>
      <c r="I32" t="s">
        <v>27</v>
      </c>
      <c r="J32" t="s">
        <v>29</v>
      </c>
      <c r="K32" s="3" t="s">
        <v>18</v>
      </c>
    </row>
    <row r="33" spans="1:11" ht="15.75" thickBot="1" x14ac:dyDescent="0.3">
      <c r="A33" s="3" t="s">
        <v>72</v>
      </c>
      <c r="B33" s="4" t="s">
        <v>621</v>
      </c>
      <c r="C33" t="s">
        <v>12</v>
      </c>
      <c r="D33" s="1">
        <v>30820</v>
      </c>
      <c r="E33" s="1">
        <v>44322</v>
      </c>
      <c r="F33" t="s">
        <v>56</v>
      </c>
      <c r="G33" t="s">
        <v>14</v>
      </c>
      <c r="H33" t="s">
        <v>15</v>
      </c>
      <c r="I33" t="s">
        <v>27</v>
      </c>
      <c r="J33" t="s">
        <v>29</v>
      </c>
      <c r="K33" s="3" t="s">
        <v>18</v>
      </c>
    </row>
    <row r="34" spans="1:11" ht="15.75" thickBot="1" x14ac:dyDescent="0.3">
      <c r="A34" s="3" t="s">
        <v>73</v>
      </c>
      <c r="B34" s="4" t="s">
        <v>622</v>
      </c>
      <c r="C34" t="s">
        <v>12</v>
      </c>
      <c r="D34" s="1">
        <v>34621</v>
      </c>
      <c r="E34" s="1">
        <v>43849</v>
      </c>
      <c r="F34" t="s">
        <v>21</v>
      </c>
      <c r="G34" t="s">
        <v>52</v>
      </c>
      <c r="H34" t="s">
        <v>74</v>
      </c>
      <c r="I34" t="s">
        <v>16</v>
      </c>
      <c r="J34" t="s">
        <v>36</v>
      </c>
      <c r="K34" s="3" t="s">
        <v>18</v>
      </c>
    </row>
    <row r="35" spans="1:11" ht="15.75" thickBot="1" x14ac:dyDescent="0.3">
      <c r="A35" s="3" t="s">
        <v>75</v>
      </c>
      <c r="B35" s="4" t="s">
        <v>623</v>
      </c>
      <c r="C35" t="s">
        <v>20</v>
      </c>
      <c r="D35" s="1">
        <v>30164</v>
      </c>
      <c r="E35" s="1">
        <v>44226</v>
      </c>
      <c r="F35" t="s">
        <v>38</v>
      </c>
      <c r="G35" t="s">
        <v>22</v>
      </c>
      <c r="H35" t="s">
        <v>44</v>
      </c>
      <c r="I35" t="s">
        <v>16</v>
      </c>
      <c r="J35" t="s">
        <v>36</v>
      </c>
      <c r="K35" s="3" t="s">
        <v>18</v>
      </c>
    </row>
    <row r="36" spans="1:11" ht="15.75" thickBot="1" x14ac:dyDescent="0.3">
      <c r="A36" s="3" t="s">
        <v>76</v>
      </c>
      <c r="B36" s="4" t="s">
        <v>624</v>
      </c>
      <c r="C36" t="s">
        <v>12</v>
      </c>
      <c r="D36" s="1">
        <v>32594</v>
      </c>
      <c r="E36" s="1">
        <v>45102</v>
      </c>
      <c r="F36" t="s">
        <v>31</v>
      </c>
      <c r="G36" t="s">
        <v>32</v>
      </c>
      <c r="H36" t="s">
        <v>26</v>
      </c>
      <c r="I36" t="s">
        <v>16</v>
      </c>
      <c r="J36" t="s">
        <v>36</v>
      </c>
      <c r="K36" s="3" t="s">
        <v>18</v>
      </c>
    </row>
    <row r="37" spans="1:11" ht="15.75" thickBot="1" x14ac:dyDescent="0.3">
      <c r="A37" s="3" t="s">
        <v>77</v>
      </c>
      <c r="B37" s="5" t="s">
        <v>625</v>
      </c>
      <c r="C37" t="s">
        <v>20</v>
      </c>
      <c r="D37" s="1">
        <v>30352</v>
      </c>
      <c r="E37" s="1">
        <v>44348</v>
      </c>
      <c r="F37" t="s">
        <v>56</v>
      </c>
      <c r="G37" t="s">
        <v>25</v>
      </c>
      <c r="H37" t="s">
        <v>46</v>
      </c>
      <c r="I37" t="s">
        <v>16</v>
      </c>
      <c r="J37" t="s">
        <v>36</v>
      </c>
      <c r="K37" s="3" t="s">
        <v>18</v>
      </c>
    </row>
    <row r="38" spans="1:11" ht="15.75" thickBot="1" x14ac:dyDescent="0.3">
      <c r="A38" s="3" t="s">
        <v>78</v>
      </c>
      <c r="B38" s="4" t="s">
        <v>626</v>
      </c>
      <c r="C38" t="s">
        <v>20</v>
      </c>
      <c r="D38" s="1">
        <v>31665</v>
      </c>
      <c r="E38" s="1">
        <v>45205</v>
      </c>
      <c r="F38" t="s">
        <v>38</v>
      </c>
      <c r="G38" t="s">
        <v>22</v>
      </c>
      <c r="H38" t="s">
        <v>15</v>
      </c>
      <c r="I38" t="s">
        <v>16</v>
      </c>
      <c r="J38" t="s">
        <v>17</v>
      </c>
      <c r="K38" s="3" t="s">
        <v>18</v>
      </c>
    </row>
    <row r="39" spans="1:11" ht="15.75" thickBot="1" x14ac:dyDescent="0.3">
      <c r="A39" s="3" t="s">
        <v>79</v>
      </c>
      <c r="B39" s="4" t="s">
        <v>627</v>
      </c>
      <c r="C39" t="s">
        <v>12</v>
      </c>
      <c r="D39" s="1">
        <v>33065</v>
      </c>
      <c r="E39" s="1">
        <v>44562</v>
      </c>
      <c r="F39" t="s">
        <v>13</v>
      </c>
      <c r="G39" t="s">
        <v>25</v>
      </c>
      <c r="H39" t="s">
        <v>49</v>
      </c>
      <c r="I39" t="s">
        <v>16</v>
      </c>
      <c r="J39" t="s">
        <v>29</v>
      </c>
      <c r="K39" s="3" t="s">
        <v>18</v>
      </c>
    </row>
    <row r="40" spans="1:11" ht="15.75" thickBot="1" x14ac:dyDescent="0.3">
      <c r="A40" s="3" t="s">
        <v>80</v>
      </c>
      <c r="B40" s="4" t="s">
        <v>628</v>
      </c>
      <c r="C40" t="s">
        <v>20</v>
      </c>
      <c r="D40" s="1">
        <v>33258</v>
      </c>
      <c r="E40" s="1">
        <v>44541</v>
      </c>
      <c r="F40" t="s">
        <v>21</v>
      </c>
      <c r="G40" t="s">
        <v>25</v>
      </c>
      <c r="H40" t="s">
        <v>49</v>
      </c>
      <c r="I40" t="s">
        <v>16</v>
      </c>
      <c r="J40" t="s">
        <v>17</v>
      </c>
      <c r="K40" s="3" t="s">
        <v>18</v>
      </c>
    </row>
    <row r="41" spans="1:11" ht="15.75" thickBot="1" x14ac:dyDescent="0.3">
      <c r="A41" s="3" t="s">
        <v>81</v>
      </c>
      <c r="B41" s="4" t="s">
        <v>629</v>
      </c>
      <c r="C41" t="s">
        <v>12</v>
      </c>
      <c r="D41" s="1">
        <v>35007</v>
      </c>
      <c r="E41" s="1">
        <v>44589</v>
      </c>
      <c r="F41" t="s">
        <v>56</v>
      </c>
      <c r="G41" t="s">
        <v>14</v>
      </c>
      <c r="H41" t="s">
        <v>35</v>
      </c>
      <c r="I41" t="s">
        <v>16</v>
      </c>
      <c r="J41" t="s">
        <v>36</v>
      </c>
      <c r="K41" s="3" t="s">
        <v>18</v>
      </c>
    </row>
    <row r="42" spans="1:11" ht="15.75" thickBot="1" x14ac:dyDescent="0.3">
      <c r="A42" s="3" t="s">
        <v>82</v>
      </c>
      <c r="B42" s="4" t="s">
        <v>630</v>
      </c>
      <c r="C42" t="s">
        <v>20</v>
      </c>
      <c r="D42" s="1">
        <v>32702</v>
      </c>
      <c r="E42" s="1">
        <v>44209</v>
      </c>
      <c r="F42" t="s">
        <v>31</v>
      </c>
      <c r="G42" t="s">
        <v>40</v>
      </c>
      <c r="H42" t="s">
        <v>23</v>
      </c>
      <c r="I42" t="s">
        <v>16</v>
      </c>
      <c r="J42" t="s">
        <v>29</v>
      </c>
      <c r="K42" s="3" t="s">
        <v>83</v>
      </c>
    </row>
    <row r="43" spans="1:11" ht="15.75" thickBot="1" x14ac:dyDescent="0.3">
      <c r="A43" s="3" t="s">
        <v>84</v>
      </c>
      <c r="B43" s="4" t="s">
        <v>631</v>
      </c>
      <c r="C43" t="s">
        <v>12</v>
      </c>
      <c r="D43" s="1">
        <v>32354</v>
      </c>
      <c r="E43" s="1">
        <v>44248</v>
      </c>
      <c r="F43" t="s">
        <v>56</v>
      </c>
      <c r="G43" t="s">
        <v>32</v>
      </c>
      <c r="H43" t="s">
        <v>44</v>
      </c>
      <c r="I43" t="s">
        <v>16</v>
      </c>
      <c r="J43" t="s">
        <v>17</v>
      </c>
      <c r="K43" s="3" t="s">
        <v>83</v>
      </c>
    </row>
    <row r="44" spans="1:11" ht="15.75" thickBot="1" x14ac:dyDescent="0.3">
      <c r="A44" s="3" t="s">
        <v>85</v>
      </c>
      <c r="B44" s="4" t="s">
        <v>632</v>
      </c>
      <c r="C44" t="s">
        <v>20</v>
      </c>
      <c r="D44" s="1">
        <v>32311</v>
      </c>
      <c r="E44" s="1">
        <v>45007</v>
      </c>
      <c r="F44" t="s">
        <v>13</v>
      </c>
      <c r="G44" t="s">
        <v>32</v>
      </c>
      <c r="H44" t="s">
        <v>26</v>
      </c>
      <c r="I44" t="s">
        <v>16</v>
      </c>
      <c r="J44" t="s">
        <v>36</v>
      </c>
      <c r="K44" s="3" t="s">
        <v>83</v>
      </c>
    </row>
    <row r="45" spans="1:11" ht="15.75" thickBot="1" x14ac:dyDescent="0.3">
      <c r="A45" s="3" t="s">
        <v>86</v>
      </c>
      <c r="B45" s="5" t="s">
        <v>633</v>
      </c>
      <c r="C45" t="s">
        <v>20</v>
      </c>
      <c r="D45" s="1">
        <v>31665</v>
      </c>
      <c r="E45" s="1">
        <v>45213</v>
      </c>
      <c r="F45" t="s">
        <v>56</v>
      </c>
      <c r="G45" t="s">
        <v>22</v>
      </c>
      <c r="H45" t="s">
        <v>15</v>
      </c>
      <c r="I45" t="s">
        <v>27</v>
      </c>
      <c r="J45" t="s">
        <v>17</v>
      </c>
      <c r="K45" s="3" t="s">
        <v>83</v>
      </c>
    </row>
    <row r="46" spans="1:11" ht="15.75" thickBot="1" x14ac:dyDescent="0.3">
      <c r="A46" s="3" t="s">
        <v>87</v>
      </c>
      <c r="B46" s="4" t="s">
        <v>634</v>
      </c>
      <c r="C46" t="s">
        <v>12</v>
      </c>
      <c r="D46" s="1">
        <v>34270</v>
      </c>
      <c r="E46" s="1">
        <v>45084</v>
      </c>
      <c r="F46" t="s">
        <v>56</v>
      </c>
      <c r="G46" t="s">
        <v>52</v>
      </c>
      <c r="H46" t="s">
        <v>41</v>
      </c>
      <c r="I46" t="s">
        <v>16</v>
      </c>
      <c r="J46" t="s">
        <v>36</v>
      </c>
      <c r="K46" s="3" t="s">
        <v>83</v>
      </c>
    </row>
    <row r="47" spans="1:11" ht="15.75" thickBot="1" x14ac:dyDescent="0.3">
      <c r="A47" s="3" t="s">
        <v>88</v>
      </c>
      <c r="B47" s="4" t="s">
        <v>635</v>
      </c>
      <c r="C47" t="s">
        <v>20</v>
      </c>
      <c r="D47" s="1">
        <v>34788</v>
      </c>
      <c r="E47" s="1">
        <v>44458</v>
      </c>
      <c r="F47" t="s">
        <v>31</v>
      </c>
      <c r="G47" t="s">
        <v>40</v>
      </c>
      <c r="H47" t="s">
        <v>23</v>
      </c>
      <c r="I47" t="s">
        <v>16</v>
      </c>
      <c r="J47" t="s">
        <v>36</v>
      </c>
      <c r="K47" s="3" t="s">
        <v>83</v>
      </c>
    </row>
    <row r="48" spans="1:11" ht="15.75" thickBot="1" x14ac:dyDescent="0.3">
      <c r="A48" s="3" t="s">
        <v>89</v>
      </c>
      <c r="B48" s="4" t="s">
        <v>636</v>
      </c>
      <c r="C48" t="s">
        <v>20</v>
      </c>
      <c r="D48" s="1">
        <v>34648</v>
      </c>
      <c r="E48" s="1">
        <v>44327</v>
      </c>
      <c r="F48" t="s">
        <v>38</v>
      </c>
      <c r="G48" t="s">
        <v>25</v>
      </c>
      <c r="H48" t="s">
        <v>15</v>
      </c>
      <c r="I48" t="s">
        <v>16</v>
      </c>
      <c r="J48" t="s">
        <v>36</v>
      </c>
      <c r="K48" s="3" t="s">
        <v>83</v>
      </c>
    </row>
    <row r="49" spans="1:11" ht="15.75" thickBot="1" x14ac:dyDescent="0.3">
      <c r="A49" s="3" t="s">
        <v>90</v>
      </c>
      <c r="B49" s="4" t="s">
        <v>637</v>
      </c>
      <c r="C49" t="s">
        <v>20</v>
      </c>
      <c r="D49" s="1">
        <v>30200</v>
      </c>
      <c r="E49" s="1">
        <v>45084</v>
      </c>
      <c r="F49" t="s">
        <v>13</v>
      </c>
      <c r="G49" t="s">
        <v>25</v>
      </c>
      <c r="H49" t="s">
        <v>41</v>
      </c>
      <c r="I49" t="s">
        <v>27</v>
      </c>
      <c r="J49" t="s">
        <v>17</v>
      </c>
      <c r="K49" s="3" t="s">
        <v>83</v>
      </c>
    </row>
    <row r="50" spans="1:11" ht="15.75" thickBot="1" x14ac:dyDescent="0.3">
      <c r="A50" s="3" t="s">
        <v>91</v>
      </c>
      <c r="B50" s="4" t="s">
        <v>638</v>
      </c>
      <c r="C50" t="s">
        <v>20</v>
      </c>
      <c r="D50" s="1">
        <v>32495</v>
      </c>
      <c r="E50" s="1">
        <v>44277</v>
      </c>
      <c r="F50" t="s">
        <v>13</v>
      </c>
      <c r="G50" t="s">
        <v>14</v>
      </c>
      <c r="H50" t="s">
        <v>15</v>
      </c>
      <c r="I50" t="s">
        <v>16</v>
      </c>
      <c r="J50" t="s">
        <v>17</v>
      </c>
      <c r="K50" s="3" t="s">
        <v>83</v>
      </c>
    </row>
    <row r="51" spans="1:11" ht="15.75" thickBot="1" x14ac:dyDescent="0.3">
      <c r="A51" s="3" t="s">
        <v>92</v>
      </c>
      <c r="B51" s="4" t="s">
        <v>639</v>
      </c>
      <c r="C51" t="s">
        <v>20</v>
      </c>
      <c r="D51" s="1">
        <v>29725</v>
      </c>
      <c r="E51" s="1">
        <v>44106</v>
      </c>
      <c r="F51" t="s">
        <v>21</v>
      </c>
      <c r="G51" t="s">
        <v>52</v>
      </c>
      <c r="H51" t="s">
        <v>35</v>
      </c>
      <c r="I51" t="s">
        <v>27</v>
      </c>
      <c r="J51" t="s">
        <v>17</v>
      </c>
      <c r="K51" s="3" t="s">
        <v>83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6B445-C564-4CC4-8AE8-773D2CF85A81}">
  <dimension ref="A1:M51"/>
  <sheetViews>
    <sheetView topLeftCell="B1" workbookViewId="0">
      <selection activeCell="G16" sqref="G16"/>
    </sheetView>
  </sheetViews>
  <sheetFormatPr defaultRowHeight="15" x14ac:dyDescent="0.25"/>
  <cols>
    <col min="1" max="1" width="7.7109375" bestFit="1" customWidth="1"/>
    <col min="2" max="2" width="11.7109375" bestFit="1" customWidth="1"/>
    <col min="3" max="3" width="15.85546875" bestFit="1" customWidth="1"/>
    <col min="4" max="4" width="15.5703125" style="3" bestFit="1" customWidth="1"/>
    <col min="5" max="5" width="31.5703125" style="3" bestFit="1" customWidth="1"/>
    <col min="6" max="6" width="16.7109375" bestFit="1" customWidth="1"/>
    <col min="7" max="7" width="17.42578125" bestFit="1" customWidth="1"/>
    <col min="8" max="8" width="17.85546875" style="3" bestFit="1" customWidth="1"/>
    <col min="9" max="9" width="18.42578125" style="3" bestFit="1" customWidth="1"/>
    <col min="10" max="10" width="11.140625" bestFit="1" customWidth="1"/>
    <col min="11" max="11" width="18.5703125" bestFit="1" customWidth="1"/>
    <col min="12" max="12" width="13.85546875" bestFit="1" customWidth="1"/>
    <col min="13" max="13" width="16.28515625" customWidth="1"/>
  </cols>
  <sheetData>
    <row r="1" spans="1:13" x14ac:dyDescent="0.25">
      <c r="A1" t="s">
        <v>0</v>
      </c>
      <c r="B1" t="s">
        <v>6</v>
      </c>
      <c r="C1" t="s">
        <v>457</v>
      </c>
      <c r="D1" s="3" t="s">
        <v>458</v>
      </c>
      <c r="E1" s="3" t="s">
        <v>459</v>
      </c>
      <c r="F1" t="s">
        <v>302</v>
      </c>
      <c r="G1" t="s">
        <v>303</v>
      </c>
      <c r="H1" t="s">
        <v>641</v>
      </c>
      <c r="I1" t="s">
        <v>642</v>
      </c>
      <c r="J1" t="s">
        <v>304</v>
      </c>
      <c r="K1" t="s">
        <v>305</v>
      </c>
      <c r="L1" s="3" t="s">
        <v>306</v>
      </c>
      <c r="M1" s="3" t="s">
        <v>307</v>
      </c>
    </row>
    <row r="2" spans="1:13" x14ac:dyDescent="0.25">
      <c r="A2" t="s">
        <v>82</v>
      </c>
      <c r="B2" t="s">
        <v>40</v>
      </c>
      <c r="C2" t="s">
        <v>460</v>
      </c>
      <c r="D2" s="3" t="s">
        <v>461</v>
      </c>
      <c r="E2" s="3" t="s">
        <v>462</v>
      </c>
      <c r="F2" s="6" t="e">
        <f>TEXT(#REF!,"YYYY-MM")</f>
        <v>#REF!</v>
      </c>
      <c r="G2" s="6" t="e">
        <f>TEXT(#REF!,"yyyy-mm")</f>
        <v>#REF!</v>
      </c>
      <c r="H2" s="1">
        <v>44440</v>
      </c>
      <c r="I2" s="1">
        <v>44470</v>
      </c>
      <c r="J2" t="s">
        <v>308</v>
      </c>
      <c r="K2" t="s">
        <v>309</v>
      </c>
      <c r="L2" s="3">
        <v>30</v>
      </c>
      <c r="M2" s="3" t="s">
        <v>310</v>
      </c>
    </row>
    <row r="3" spans="1:13" x14ac:dyDescent="0.25">
      <c r="A3" t="s">
        <v>84</v>
      </c>
      <c r="B3" t="s">
        <v>32</v>
      </c>
      <c r="C3" t="s">
        <v>460</v>
      </c>
      <c r="D3" s="3" t="s">
        <v>461</v>
      </c>
      <c r="E3" s="3" t="s">
        <v>313</v>
      </c>
      <c r="F3" s="6" t="e">
        <f>TEXT(#REF!,"YYYY-MM")</f>
        <v>#REF!</v>
      </c>
      <c r="G3" s="6" t="e">
        <f>TEXT(#REF!,"yyyy-mm")</f>
        <v>#REF!</v>
      </c>
      <c r="H3" s="1">
        <v>44739</v>
      </c>
      <c r="I3" s="1">
        <v>44769</v>
      </c>
      <c r="J3" t="s">
        <v>308</v>
      </c>
      <c r="K3" t="s">
        <v>311</v>
      </c>
      <c r="L3" s="3">
        <v>30</v>
      </c>
      <c r="M3" s="3" t="s">
        <v>312</v>
      </c>
    </row>
    <row r="4" spans="1:13" x14ac:dyDescent="0.25">
      <c r="A4" t="s">
        <v>85</v>
      </c>
      <c r="B4" t="s">
        <v>32</v>
      </c>
      <c r="C4" t="s">
        <v>460</v>
      </c>
      <c r="D4" s="3" t="s">
        <v>461</v>
      </c>
      <c r="E4" s="3" t="s">
        <v>463</v>
      </c>
      <c r="F4" s="6" t="e">
        <f>TEXT(#REF!,"YYYY-MM")</f>
        <v>#REF!</v>
      </c>
      <c r="G4" s="6" t="e">
        <f>TEXT(#REF!,"yyyy-mm")</f>
        <v>#REF!</v>
      </c>
      <c r="H4" s="1">
        <v>45776</v>
      </c>
      <c r="I4" s="1">
        <v>45806</v>
      </c>
      <c r="J4" t="s">
        <v>308</v>
      </c>
      <c r="K4" t="s">
        <v>313</v>
      </c>
      <c r="L4" s="3">
        <v>30</v>
      </c>
      <c r="M4" s="3" t="s">
        <v>310</v>
      </c>
    </row>
    <row r="5" spans="1:13" x14ac:dyDescent="0.25">
      <c r="A5" t="s">
        <v>86</v>
      </c>
      <c r="B5" t="s">
        <v>22</v>
      </c>
      <c r="C5" t="s">
        <v>460</v>
      </c>
      <c r="D5" s="3" t="s">
        <v>461</v>
      </c>
      <c r="E5" s="3" t="s">
        <v>464</v>
      </c>
      <c r="F5" s="6" t="e">
        <f>TEXT(#REF!,"YYYY-MM")</f>
        <v>#REF!</v>
      </c>
      <c r="G5" s="6" t="e">
        <f>TEXT(#REF!,"yyyy-mm")</f>
        <v>#REF!</v>
      </c>
      <c r="H5" s="1">
        <v>45702</v>
      </c>
      <c r="I5" s="1">
        <v>45732</v>
      </c>
      <c r="J5" t="s">
        <v>308</v>
      </c>
      <c r="K5" t="s">
        <v>313</v>
      </c>
      <c r="L5" s="3">
        <v>30</v>
      </c>
      <c r="M5" s="3" t="s">
        <v>312</v>
      </c>
    </row>
    <row r="6" spans="1:13" x14ac:dyDescent="0.25">
      <c r="A6" t="s">
        <v>87</v>
      </c>
      <c r="B6" t="s">
        <v>52</v>
      </c>
      <c r="C6" t="s">
        <v>460</v>
      </c>
      <c r="D6" s="3" t="s">
        <v>461</v>
      </c>
      <c r="E6" s="3" t="s">
        <v>313</v>
      </c>
      <c r="F6" s="6" t="e">
        <f>TEXT(#REF!,"YYYY-MM")</f>
        <v>#REF!</v>
      </c>
      <c r="G6" s="6" t="e">
        <f>TEXT(#REF!,"yyyy-mm")</f>
        <v>#REF!</v>
      </c>
      <c r="H6" s="1">
        <v>45494</v>
      </c>
      <c r="I6" s="1">
        <v>45524</v>
      </c>
      <c r="J6" t="s">
        <v>308</v>
      </c>
      <c r="K6" t="s">
        <v>309</v>
      </c>
      <c r="L6" s="3">
        <v>30</v>
      </c>
      <c r="M6" s="3" t="s">
        <v>312</v>
      </c>
    </row>
    <row r="7" spans="1:13" x14ac:dyDescent="0.25">
      <c r="A7" t="s">
        <v>88</v>
      </c>
      <c r="B7" t="s">
        <v>40</v>
      </c>
      <c r="C7" t="s">
        <v>460</v>
      </c>
      <c r="D7" s="3" t="s">
        <v>461</v>
      </c>
      <c r="E7" s="3" t="s">
        <v>462</v>
      </c>
      <c r="F7" s="6" t="e">
        <f>TEXT(#REF!,"YYYY-MM")</f>
        <v>#REF!</v>
      </c>
      <c r="G7" s="6" t="e">
        <f>TEXT(#REF!,"yyyy-mm")</f>
        <v>#REF!</v>
      </c>
      <c r="H7" s="1">
        <v>44719</v>
      </c>
      <c r="I7" s="1">
        <v>44749</v>
      </c>
      <c r="J7" t="s">
        <v>308</v>
      </c>
      <c r="K7" t="s">
        <v>313</v>
      </c>
      <c r="L7" s="3">
        <v>30</v>
      </c>
      <c r="M7" s="3" t="s">
        <v>312</v>
      </c>
    </row>
    <row r="8" spans="1:13" x14ac:dyDescent="0.25">
      <c r="A8" t="s">
        <v>89</v>
      </c>
      <c r="B8" t="s">
        <v>25</v>
      </c>
      <c r="C8" t="s">
        <v>460</v>
      </c>
      <c r="D8" s="3" t="s">
        <v>461</v>
      </c>
      <c r="E8" s="3" t="s">
        <v>463</v>
      </c>
      <c r="F8" s="6" t="e">
        <f>TEXT(#REF!,"YYYY-MM")</f>
        <v>#REF!</v>
      </c>
      <c r="G8" s="6" t="e">
        <f>TEXT(#REF!,"yyyy-mm")</f>
        <v>#REF!</v>
      </c>
      <c r="H8" s="1">
        <v>44687</v>
      </c>
      <c r="I8" s="1">
        <v>44717</v>
      </c>
      <c r="J8" t="s">
        <v>314</v>
      </c>
      <c r="K8" t="s">
        <v>313</v>
      </c>
      <c r="L8" s="3">
        <v>30</v>
      </c>
      <c r="M8" s="3" t="s">
        <v>312</v>
      </c>
    </row>
    <row r="9" spans="1:13" x14ac:dyDescent="0.25">
      <c r="A9" t="s">
        <v>90</v>
      </c>
      <c r="B9" t="s">
        <v>25</v>
      </c>
      <c r="C9" t="s">
        <v>460</v>
      </c>
      <c r="D9" s="3" t="s">
        <v>461</v>
      </c>
      <c r="E9" s="3" t="s">
        <v>464</v>
      </c>
      <c r="F9" s="6" t="e">
        <f>TEXT(#REF!,"YYYY-MM")</f>
        <v>#REF!</v>
      </c>
      <c r="G9" s="6" t="e">
        <f>TEXT(#REF!,"yyyy-mm")</f>
        <v>#REF!</v>
      </c>
      <c r="H9" s="1">
        <v>45304</v>
      </c>
      <c r="I9" s="1">
        <v>45334</v>
      </c>
      <c r="J9" t="s">
        <v>308</v>
      </c>
      <c r="K9" t="s">
        <v>311</v>
      </c>
      <c r="L9" s="3">
        <v>30</v>
      </c>
      <c r="M9" s="3" t="s">
        <v>312</v>
      </c>
    </row>
    <row r="10" spans="1:13" x14ac:dyDescent="0.25">
      <c r="A10" t="s">
        <v>91</v>
      </c>
      <c r="B10" t="s">
        <v>14</v>
      </c>
      <c r="C10" t="s">
        <v>460</v>
      </c>
      <c r="D10" s="3" t="s">
        <v>461</v>
      </c>
      <c r="E10" s="3" t="s">
        <v>464</v>
      </c>
      <c r="F10" s="6" t="e">
        <f>TEXT(#REF!,"YYYY-MM")</f>
        <v>#REF!</v>
      </c>
      <c r="G10" s="6" t="e">
        <f>TEXT(#REF!,"yyyy-mm")</f>
        <v>#REF!</v>
      </c>
      <c r="H10" s="1">
        <v>44512</v>
      </c>
      <c r="I10" s="1">
        <v>44542</v>
      </c>
      <c r="J10" t="s">
        <v>308</v>
      </c>
      <c r="K10" t="s">
        <v>315</v>
      </c>
      <c r="L10" s="3">
        <v>30</v>
      </c>
      <c r="M10" s="3" t="s">
        <v>312</v>
      </c>
    </row>
    <row r="11" spans="1:13" x14ac:dyDescent="0.25">
      <c r="A11" t="s">
        <v>92</v>
      </c>
      <c r="B11" t="s">
        <v>52</v>
      </c>
      <c r="C11" t="s">
        <v>460</v>
      </c>
      <c r="D11" s="3" t="s">
        <v>461</v>
      </c>
      <c r="E11" s="3" t="s">
        <v>462</v>
      </c>
      <c r="F11" s="6" t="e">
        <f>TEXT(#REF!,"YYYY-MM")</f>
        <v>#REF!</v>
      </c>
      <c r="G11" s="6" t="e">
        <f>TEXT(#REF!,"yyyy-mm")</f>
        <v>#REF!</v>
      </c>
      <c r="H11" s="1">
        <v>44503</v>
      </c>
      <c r="I11" s="1">
        <v>44533</v>
      </c>
      <c r="J11" t="s">
        <v>314</v>
      </c>
      <c r="K11" t="s">
        <v>309</v>
      </c>
      <c r="L11" s="3">
        <v>30</v>
      </c>
      <c r="M11" s="3" t="s">
        <v>312</v>
      </c>
    </row>
    <row r="12" spans="1:13" x14ac:dyDescent="0.25">
      <c r="A12" t="s">
        <v>11</v>
      </c>
      <c r="B12" t="s">
        <v>14</v>
      </c>
      <c r="C12" t="s">
        <v>18</v>
      </c>
      <c r="D12" s="3" t="s">
        <v>465</v>
      </c>
      <c r="E12" s="3" t="s">
        <v>466</v>
      </c>
      <c r="F12" s="1" t="e">
        <f>TEXT(#REF!,"YYYY-MM")</f>
        <v>#REF!</v>
      </c>
      <c r="G12" s="1" t="e">
        <f>TEXT(#REF!,"yyyy-mm")</f>
        <v>#REF!</v>
      </c>
      <c r="H12" s="1"/>
      <c r="I12" s="1"/>
      <c r="J12" t="s">
        <v>467</v>
      </c>
      <c r="K12" t="s">
        <v>467</v>
      </c>
      <c r="L12" s="3"/>
      <c r="M12" s="3" t="s">
        <v>467</v>
      </c>
    </row>
    <row r="13" spans="1:13" x14ac:dyDescent="0.25">
      <c r="A13" t="s">
        <v>19</v>
      </c>
      <c r="B13" t="s">
        <v>22</v>
      </c>
      <c r="C13" t="s">
        <v>18</v>
      </c>
      <c r="D13" s="3" t="s">
        <v>465</v>
      </c>
      <c r="E13" s="3" t="s">
        <v>468</v>
      </c>
      <c r="F13" s="1" t="e">
        <f>TEXT(#REF!,"YYYY-MM")</f>
        <v>#REF!</v>
      </c>
      <c r="G13" s="1" t="e">
        <f>TEXT(#REF!,"yyyy-mm")</f>
        <v>#REF!</v>
      </c>
      <c r="H13" s="1"/>
      <c r="I13" s="1"/>
      <c r="J13" t="s">
        <v>467</v>
      </c>
      <c r="K13" t="s">
        <v>467</v>
      </c>
      <c r="L13" s="3"/>
      <c r="M13" s="3" t="s">
        <v>467</v>
      </c>
    </row>
    <row r="14" spans="1:13" x14ac:dyDescent="0.25">
      <c r="A14" t="s">
        <v>24</v>
      </c>
      <c r="B14" t="s">
        <v>25</v>
      </c>
      <c r="C14" t="s">
        <v>18</v>
      </c>
      <c r="D14" s="3" t="s">
        <v>465</v>
      </c>
      <c r="E14" s="3" t="s">
        <v>469</v>
      </c>
      <c r="F14" s="1" t="e">
        <f>TEXT(#REF!,"YYYY-MM")</f>
        <v>#REF!</v>
      </c>
      <c r="G14" s="1" t="e">
        <f>TEXT(#REF!,"yyyy-mm")</f>
        <v>#REF!</v>
      </c>
      <c r="H14" s="1"/>
      <c r="I14" s="1"/>
      <c r="J14" t="s">
        <v>467</v>
      </c>
      <c r="K14" t="s">
        <v>467</v>
      </c>
      <c r="L14" s="3"/>
      <c r="M14" s="3" t="s">
        <v>467</v>
      </c>
    </row>
    <row r="15" spans="1:13" x14ac:dyDescent="0.25">
      <c r="A15" t="s">
        <v>28</v>
      </c>
      <c r="B15" t="s">
        <v>22</v>
      </c>
      <c r="C15" t="s">
        <v>18</v>
      </c>
      <c r="D15" s="3" t="s">
        <v>465</v>
      </c>
      <c r="E15" s="3" t="s">
        <v>469</v>
      </c>
      <c r="F15" s="1" t="e">
        <f>TEXT(#REF!,"YYYY-MM")</f>
        <v>#REF!</v>
      </c>
      <c r="G15" s="1" t="e">
        <f>TEXT(#REF!,"yyyy-mm")</f>
        <v>#REF!</v>
      </c>
      <c r="H15" s="1"/>
      <c r="I15" s="1"/>
      <c r="J15" t="s">
        <v>467</v>
      </c>
      <c r="K15" t="s">
        <v>467</v>
      </c>
      <c r="L15" s="3"/>
      <c r="M15" s="3" t="s">
        <v>467</v>
      </c>
    </row>
    <row r="16" spans="1:13" x14ac:dyDescent="0.25">
      <c r="A16" t="s">
        <v>30</v>
      </c>
      <c r="B16" t="s">
        <v>32</v>
      </c>
      <c r="C16" t="s">
        <v>18</v>
      </c>
      <c r="D16" s="3" t="s">
        <v>465</v>
      </c>
      <c r="E16" s="3" t="s">
        <v>469</v>
      </c>
      <c r="F16" s="1" t="e">
        <f>TEXT(#REF!,"YYYY-MM")</f>
        <v>#REF!</v>
      </c>
      <c r="G16" s="1" t="e">
        <f>TEXT(#REF!,"yyyy-mm")</f>
        <v>#REF!</v>
      </c>
      <c r="H16" s="1"/>
      <c r="I16" s="1"/>
      <c r="J16" t="s">
        <v>467</v>
      </c>
      <c r="K16" t="s">
        <v>467</v>
      </c>
      <c r="L16" s="3"/>
      <c r="M16" s="3" t="s">
        <v>467</v>
      </c>
    </row>
    <row r="17" spans="1:13" x14ac:dyDescent="0.25">
      <c r="A17" t="s">
        <v>33</v>
      </c>
      <c r="B17" t="s">
        <v>14</v>
      </c>
      <c r="C17" t="s">
        <v>18</v>
      </c>
      <c r="D17" s="3" t="s">
        <v>465</v>
      </c>
      <c r="E17" s="3" t="s">
        <v>470</v>
      </c>
      <c r="F17" s="1" t="e">
        <f>TEXT(#REF!,"YYYY-MM")</f>
        <v>#REF!</v>
      </c>
      <c r="G17" s="1" t="e">
        <f>TEXT(#REF!,"yyyy-mm")</f>
        <v>#REF!</v>
      </c>
      <c r="H17" s="1"/>
      <c r="I17" s="1"/>
      <c r="J17" t="s">
        <v>467</v>
      </c>
      <c r="K17" t="s">
        <v>467</v>
      </c>
      <c r="L17" s="3"/>
      <c r="M17" s="3" t="s">
        <v>467</v>
      </c>
    </row>
    <row r="18" spans="1:13" x14ac:dyDescent="0.25">
      <c r="A18" t="s">
        <v>37</v>
      </c>
      <c r="B18" t="s">
        <v>32</v>
      </c>
      <c r="C18" t="s">
        <v>18</v>
      </c>
      <c r="D18" s="3" t="s">
        <v>465</v>
      </c>
      <c r="E18" s="3" t="s">
        <v>469</v>
      </c>
      <c r="F18" s="1" t="e">
        <f>TEXT(#REF!,"YYYY-MM")</f>
        <v>#REF!</v>
      </c>
      <c r="G18" s="1" t="e">
        <f>TEXT(#REF!,"yyyy-mm")</f>
        <v>#REF!</v>
      </c>
      <c r="H18" s="1"/>
      <c r="I18" s="1"/>
      <c r="J18" t="s">
        <v>467</v>
      </c>
      <c r="K18" t="s">
        <v>467</v>
      </c>
      <c r="L18" s="3"/>
      <c r="M18" s="3" t="s">
        <v>467</v>
      </c>
    </row>
    <row r="19" spans="1:13" x14ac:dyDescent="0.25">
      <c r="A19" t="s">
        <v>39</v>
      </c>
      <c r="B19" t="s">
        <v>40</v>
      </c>
      <c r="C19" t="s">
        <v>18</v>
      </c>
      <c r="D19" s="3" t="s">
        <v>465</v>
      </c>
      <c r="E19" s="3" t="s">
        <v>471</v>
      </c>
      <c r="F19" s="1" t="e">
        <f>TEXT(#REF!,"YYYY-MM")</f>
        <v>#REF!</v>
      </c>
      <c r="G19" s="1" t="e">
        <f>TEXT(#REF!,"yyyy-mm")</f>
        <v>#REF!</v>
      </c>
      <c r="H19" s="1"/>
      <c r="I19" s="1"/>
      <c r="J19" t="s">
        <v>467</v>
      </c>
      <c r="K19" t="s">
        <v>467</v>
      </c>
      <c r="L19" s="3"/>
      <c r="M19" s="3" t="s">
        <v>467</v>
      </c>
    </row>
    <row r="20" spans="1:13" x14ac:dyDescent="0.25">
      <c r="A20" t="s">
        <v>42</v>
      </c>
      <c r="B20" t="s">
        <v>22</v>
      </c>
      <c r="C20" t="s">
        <v>18</v>
      </c>
      <c r="D20" s="3" t="s">
        <v>465</v>
      </c>
      <c r="E20" s="3" t="s">
        <v>466</v>
      </c>
      <c r="F20" s="1" t="e">
        <f>TEXT(#REF!,"YYYY-MM")</f>
        <v>#REF!</v>
      </c>
      <c r="G20" s="1" t="e">
        <f>TEXT(#REF!,"yyyy-mm")</f>
        <v>#REF!</v>
      </c>
      <c r="H20" s="1"/>
      <c r="I20" s="1"/>
      <c r="J20" t="s">
        <v>467</v>
      </c>
      <c r="K20" t="s">
        <v>467</v>
      </c>
      <c r="L20" s="3"/>
      <c r="M20" s="3" t="s">
        <v>467</v>
      </c>
    </row>
    <row r="21" spans="1:13" x14ac:dyDescent="0.25">
      <c r="A21" t="s">
        <v>45</v>
      </c>
      <c r="B21" t="s">
        <v>14</v>
      </c>
      <c r="C21" t="s">
        <v>18</v>
      </c>
      <c r="D21" s="3" t="s">
        <v>465</v>
      </c>
      <c r="E21" s="3" t="s">
        <v>470</v>
      </c>
      <c r="F21" s="1" t="e">
        <f>TEXT(#REF!,"YYYY-MM")</f>
        <v>#REF!</v>
      </c>
      <c r="G21" s="1" t="e">
        <f>TEXT(#REF!,"yyyy-mm")</f>
        <v>#REF!</v>
      </c>
      <c r="H21" s="1"/>
      <c r="I21" s="1"/>
      <c r="J21" t="s">
        <v>467</v>
      </c>
      <c r="K21" t="s">
        <v>467</v>
      </c>
      <c r="L21" s="3"/>
      <c r="M21" s="3" t="s">
        <v>467</v>
      </c>
    </row>
    <row r="22" spans="1:13" x14ac:dyDescent="0.25">
      <c r="A22" t="s">
        <v>47</v>
      </c>
      <c r="B22" t="s">
        <v>14</v>
      </c>
      <c r="C22" t="s">
        <v>18</v>
      </c>
      <c r="D22" s="3" t="s">
        <v>465</v>
      </c>
      <c r="E22" s="3" t="s">
        <v>468</v>
      </c>
      <c r="F22" s="1" t="e">
        <f>TEXT(#REF!,"YYYY-MM")</f>
        <v>#REF!</v>
      </c>
      <c r="G22" s="1" t="e">
        <f>TEXT(#REF!,"yyyy-mm")</f>
        <v>#REF!</v>
      </c>
      <c r="H22" s="1"/>
      <c r="I22" s="1"/>
      <c r="J22" t="s">
        <v>467</v>
      </c>
      <c r="K22" t="s">
        <v>467</v>
      </c>
      <c r="L22" s="3"/>
      <c r="M22" s="3" t="s">
        <v>467</v>
      </c>
    </row>
    <row r="23" spans="1:13" x14ac:dyDescent="0.25">
      <c r="A23" t="s">
        <v>48</v>
      </c>
      <c r="B23" t="s">
        <v>25</v>
      </c>
      <c r="C23" t="s">
        <v>18</v>
      </c>
      <c r="D23" s="3" t="s">
        <v>465</v>
      </c>
      <c r="E23" s="3" t="s">
        <v>472</v>
      </c>
      <c r="F23" s="1" t="e">
        <f>TEXT(#REF!,"YYYY-MM")</f>
        <v>#REF!</v>
      </c>
      <c r="G23" s="1" t="e">
        <f>TEXT(#REF!,"yyyy-mm")</f>
        <v>#REF!</v>
      </c>
      <c r="H23" s="1"/>
      <c r="I23" s="1"/>
      <c r="J23" t="s">
        <v>467</v>
      </c>
      <c r="K23" t="s">
        <v>467</v>
      </c>
      <c r="L23" s="3"/>
      <c r="M23" s="3" t="s">
        <v>467</v>
      </c>
    </row>
    <row r="24" spans="1:13" x14ac:dyDescent="0.25">
      <c r="A24" t="s">
        <v>50</v>
      </c>
      <c r="B24" t="s">
        <v>40</v>
      </c>
      <c r="C24" t="s">
        <v>18</v>
      </c>
      <c r="D24" s="3" t="s">
        <v>465</v>
      </c>
      <c r="E24" s="3" t="s">
        <v>473</v>
      </c>
      <c r="F24" s="1" t="e">
        <f>TEXT(#REF!,"YYYY-MM")</f>
        <v>#REF!</v>
      </c>
      <c r="G24" s="1" t="e">
        <f>TEXT(#REF!,"yyyy-mm")</f>
        <v>#REF!</v>
      </c>
      <c r="H24" s="1"/>
      <c r="I24" s="1"/>
      <c r="J24" t="s">
        <v>467</v>
      </c>
      <c r="K24" t="s">
        <v>467</v>
      </c>
      <c r="L24" s="3"/>
      <c r="M24" s="3" t="s">
        <v>467</v>
      </c>
    </row>
    <row r="25" spans="1:13" x14ac:dyDescent="0.25">
      <c r="A25" t="s">
        <v>51</v>
      </c>
      <c r="B25" t="s">
        <v>52</v>
      </c>
      <c r="C25" t="s">
        <v>18</v>
      </c>
      <c r="D25" s="3" t="s">
        <v>465</v>
      </c>
      <c r="E25" s="3" t="s">
        <v>472</v>
      </c>
      <c r="F25" s="1" t="e">
        <f>TEXT(#REF!,"YYYY-MM")</f>
        <v>#REF!</v>
      </c>
      <c r="G25" s="1" t="e">
        <f>TEXT(#REF!,"yyyy-mm")</f>
        <v>#REF!</v>
      </c>
      <c r="H25" s="1"/>
      <c r="I25" s="1"/>
      <c r="J25" t="s">
        <v>467</v>
      </c>
      <c r="K25" t="s">
        <v>467</v>
      </c>
      <c r="L25" s="3"/>
      <c r="M25" s="3" t="s">
        <v>467</v>
      </c>
    </row>
    <row r="26" spans="1:13" x14ac:dyDescent="0.25">
      <c r="A26" t="s">
        <v>53</v>
      </c>
      <c r="B26" t="s">
        <v>14</v>
      </c>
      <c r="C26" t="s">
        <v>18</v>
      </c>
      <c r="D26" s="3" t="s">
        <v>465</v>
      </c>
      <c r="E26" s="3" t="s">
        <v>470</v>
      </c>
      <c r="F26" s="1" t="e">
        <f>TEXT(#REF!,"YYYY-MM")</f>
        <v>#REF!</v>
      </c>
      <c r="G26" s="1" t="e">
        <f>TEXT(#REF!,"yyyy-mm")</f>
        <v>#REF!</v>
      </c>
      <c r="H26" s="1"/>
      <c r="I26" s="1"/>
      <c r="J26" t="s">
        <v>467</v>
      </c>
      <c r="K26" t="s">
        <v>467</v>
      </c>
      <c r="L26" s="3"/>
      <c r="M26" s="3" t="s">
        <v>467</v>
      </c>
    </row>
    <row r="27" spans="1:13" x14ac:dyDescent="0.25">
      <c r="A27" t="s">
        <v>54</v>
      </c>
      <c r="B27" t="s">
        <v>40</v>
      </c>
      <c r="C27" t="s">
        <v>18</v>
      </c>
      <c r="D27" s="3" t="s">
        <v>465</v>
      </c>
      <c r="E27" s="3" t="s">
        <v>470</v>
      </c>
      <c r="F27" s="1" t="e">
        <f>TEXT(#REF!,"YYYY-MM")</f>
        <v>#REF!</v>
      </c>
      <c r="G27" s="1" t="e">
        <f>TEXT(#REF!,"yyyy-mm")</f>
        <v>#REF!</v>
      </c>
      <c r="H27" s="1"/>
      <c r="I27" s="1"/>
      <c r="J27" t="s">
        <v>467</v>
      </c>
      <c r="K27" t="s">
        <v>467</v>
      </c>
      <c r="L27" s="3"/>
      <c r="M27" s="3" t="s">
        <v>467</v>
      </c>
    </row>
    <row r="28" spans="1:13" x14ac:dyDescent="0.25">
      <c r="A28" t="s">
        <v>55</v>
      </c>
      <c r="B28" t="s">
        <v>57</v>
      </c>
      <c r="C28" t="s">
        <v>18</v>
      </c>
      <c r="D28" s="3" t="s">
        <v>465</v>
      </c>
      <c r="E28" s="3" t="s">
        <v>468</v>
      </c>
      <c r="F28" s="1" t="e">
        <f>TEXT(#REF!,"YYYY-MM")</f>
        <v>#REF!</v>
      </c>
      <c r="G28" s="1" t="e">
        <f>TEXT(#REF!,"yyyy-mm")</f>
        <v>#REF!</v>
      </c>
      <c r="H28" s="1"/>
      <c r="I28" s="1"/>
      <c r="J28" t="s">
        <v>467</v>
      </c>
      <c r="K28" t="s">
        <v>467</v>
      </c>
      <c r="L28" s="3"/>
      <c r="M28" s="3" t="s">
        <v>467</v>
      </c>
    </row>
    <row r="29" spans="1:13" x14ac:dyDescent="0.25">
      <c r="A29" t="s">
        <v>58</v>
      </c>
      <c r="B29" t="s">
        <v>32</v>
      </c>
      <c r="C29" t="s">
        <v>18</v>
      </c>
      <c r="D29" s="3" t="s">
        <v>465</v>
      </c>
      <c r="E29" s="3" t="s">
        <v>471</v>
      </c>
      <c r="F29" s="1" t="e">
        <f>TEXT(#REF!,"YYYY-MM")</f>
        <v>#REF!</v>
      </c>
      <c r="G29" s="1" t="e">
        <f>TEXT(#REF!,"yyyy-mm")</f>
        <v>#REF!</v>
      </c>
      <c r="H29" s="1"/>
      <c r="I29" s="1"/>
      <c r="J29" t="s">
        <v>467</v>
      </c>
      <c r="K29" t="s">
        <v>467</v>
      </c>
      <c r="L29" s="3"/>
      <c r="M29" s="3" t="s">
        <v>467</v>
      </c>
    </row>
    <row r="30" spans="1:13" x14ac:dyDescent="0.25">
      <c r="A30" t="s">
        <v>59</v>
      </c>
      <c r="B30" t="s">
        <v>40</v>
      </c>
      <c r="C30" t="s">
        <v>18</v>
      </c>
      <c r="D30" s="3" t="s">
        <v>465</v>
      </c>
      <c r="E30" s="3" t="s">
        <v>471</v>
      </c>
      <c r="F30" s="1" t="e">
        <f>TEXT(#REF!,"YYYY-MM")</f>
        <v>#REF!</v>
      </c>
      <c r="G30" s="1" t="e">
        <f>TEXT(#REF!,"yyyy-mm")</f>
        <v>#REF!</v>
      </c>
      <c r="H30" s="1"/>
      <c r="I30" s="1"/>
      <c r="J30" t="s">
        <v>467</v>
      </c>
      <c r="K30" t="s">
        <v>467</v>
      </c>
      <c r="L30" s="3"/>
      <c r="M30" s="3" t="s">
        <v>467</v>
      </c>
    </row>
    <row r="31" spans="1:13" x14ac:dyDescent="0.25">
      <c r="A31" t="s">
        <v>60</v>
      </c>
      <c r="B31" t="s">
        <v>22</v>
      </c>
      <c r="C31" t="s">
        <v>18</v>
      </c>
      <c r="D31" s="3" t="s">
        <v>465</v>
      </c>
      <c r="E31" s="3" t="s">
        <v>472</v>
      </c>
      <c r="F31" s="1" t="e">
        <f>TEXT(#REF!,"YYYY-MM")</f>
        <v>#REF!</v>
      </c>
      <c r="G31" s="1" t="e">
        <f>TEXT(#REF!,"yyyy-mm")</f>
        <v>#REF!</v>
      </c>
      <c r="H31" s="1"/>
      <c r="I31" s="1"/>
      <c r="J31" t="s">
        <v>467</v>
      </c>
      <c r="K31" t="s">
        <v>467</v>
      </c>
      <c r="L31" s="3"/>
      <c r="M31" s="3" t="s">
        <v>467</v>
      </c>
    </row>
    <row r="32" spans="1:13" x14ac:dyDescent="0.25">
      <c r="A32" t="s">
        <v>61</v>
      </c>
      <c r="B32" t="s">
        <v>25</v>
      </c>
      <c r="C32" t="s">
        <v>18</v>
      </c>
      <c r="D32" s="3" t="s">
        <v>465</v>
      </c>
      <c r="E32" s="3" t="s">
        <v>472</v>
      </c>
      <c r="F32" s="1" t="e">
        <f>TEXT(#REF!,"YYYY-MM")</f>
        <v>#REF!</v>
      </c>
      <c r="G32" s="1" t="e">
        <f>TEXT(#REF!,"yyyy-mm")</f>
        <v>#REF!</v>
      </c>
      <c r="H32" s="1"/>
      <c r="I32" s="1"/>
      <c r="J32" t="s">
        <v>467</v>
      </c>
      <c r="K32" t="s">
        <v>467</v>
      </c>
      <c r="L32" s="3"/>
      <c r="M32" s="3" t="s">
        <v>467</v>
      </c>
    </row>
    <row r="33" spans="1:13" x14ac:dyDescent="0.25">
      <c r="A33" t="s">
        <v>62</v>
      </c>
      <c r="B33" t="s">
        <v>57</v>
      </c>
      <c r="C33" t="s">
        <v>18</v>
      </c>
      <c r="D33" s="3" t="s">
        <v>465</v>
      </c>
      <c r="E33" s="3" t="s">
        <v>470</v>
      </c>
      <c r="F33" s="1" t="e">
        <f>TEXT(#REF!,"YYYY-MM")</f>
        <v>#REF!</v>
      </c>
      <c r="G33" s="1" t="e">
        <f>TEXT(#REF!,"yyyy-mm")</f>
        <v>#REF!</v>
      </c>
      <c r="H33" s="1"/>
      <c r="I33" s="1"/>
      <c r="J33" t="s">
        <v>467</v>
      </c>
      <c r="K33" t="s">
        <v>467</v>
      </c>
      <c r="L33" s="3"/>
      <c r="M33" s="3" t="s">
        <v>467</v>
      </c>
    </row>
    <row r="34" spans="1:13" x14ac:dyDescent="0.25">
      <c r="A34" t="s">
        <v>63</v>
      </c>
      <c r="B34" t="s">
        <v>57</v>
      </c>
      <c r="C34" t="s">
        <v>18</v>
      </c>
      <c r="D34" s="3" t="s">
        <v>465</v>
      </c>
      <c r="E34" s="3" t="s">
        <v>468</v>
      </c>
      <c r="F34" s="1" t="e">
        <f>TEXT(#REF!,"YYYY-MM")</f>
        <v>#REF!</v>
      </c>
      <c r="G34" s="1" t="e">
        <f>TEXT(#REF!,"yyyy-mm")</f>
        <v>#REF!</v>
      </c>
      <c r="H34" s="1"/>
      <c r="I34" s="1"/>
      <c r="J34" t="s">
        <v>467</v>
      </c>
      <c r="K34" t="s">
        <v>467</v>
      </c>
      <c r="L34" s="3"/>
      <c r="M34" s="3" t="s">
        <v>467</v>
      </c>
    </row>
    <row r="35" spans="1:13" x14ac:dyDescent="0.25">
      <c r="A35" t="s">
        <v>64</v>
      </c>
      <c r="B35" t="s">
        <v>22</v>
      </c>
      <c r="C35" t="s">
        <v>18</v>
      </c>
      <c r="D35" s="3" t="s">
        <v>465</v>
      </c>
      <c r="E35" s="3" t="s">
        <v>470</v>
      </c>
      <c r="F35" s="1" t="e">
        <f>TEXT(#REF!,"YYYY-MM")</f>
        <v>#REF!</v>
      </c>
      <c r="G35" s="1" t="e">
        <f>TEXT(#REF!,"yyyy-mm")</f>
        <v>#REF!</v>
      </c>
      <c r="H35" s="1"/>
      <c r="I35" s="1"/>
      <c r="J35" t="s">
        <v>467</v>
      </c>
      <c r="K35" t="s">
        <v>467</v>
      </c>
      <c r="L35" s="3"/>
      <c r="M35" s="3" t="s">
        <v>467</v>
      </c>
    </row>
    <row r="36" spans="1:13" x14ac:dyDescent="0.25">
      <c r="A36" t="s">
        <v>65</v>
      </c>
      <c r="B36" t="s">
        <v>40</v>
      </c>
      <c r="C36" t="s">
        <v>18</v>
      </c>
      <c r="D36" s="3" t="s">
        <v>465</v>
      </c>
      <c r="E36" s="3" t="s">
        <v>472</v>
      </c>
      <c r="F36" s="1" t="e">
        <f>TEXT(#REF!,"YYYY-MM")</f>
        <v>#REF!</v>
      </c>
      <c r="G36" s="1" t="e">
        <f>TEXT(#REF!,"yyyy-mm")</f>
        <v>#REF!</v>
      </c>
      <c r="H36" s="1"/>
      <c r="I36" s="1"/>
      <c r="J36" t="s">
        <v>467</v>
      </c>
      <c r="K36" t="s">
        <v>467</v>
      </c>
      <c r="L36" s="3"/>
      <c r="M36" s="3" t="s">
        <v>467</v>
      </c>
    </row>
    <row r="37" spans="1:13" x14ac:dyDescent="0.25">
      <c r="A37" t="s">
        <v>66</v>
      </c>
      <c r="B37" t="s">
        <v>32</v>
      </c>
      <c r="C37" t="s">
        <v>18</v>
      </c>
      <c r="D37" s="3" t="s">
        <v>465</v>
      </c>
      <c r="E37" s="3" t="s">
        <v>473</v>
      </c>
      <c r="F37" s="1" t="e">
        <f>TEXT(#REF!,"YYYY-MM")</f>
        <v>#REF!</v>
      </c>
      <c r="G37" s="1" t="e">
        <f>TEXT(#REF!,"yyyy-mm")</f>
        <v>#REF!</v>
      </c>
      <c r="H37" s="1"/>
      <c r="I37" s="1"/>
      <c r="J37" t="s">
        <v>467</v>
      </c>
      <c r="K37" t="s">
        <v>467</v>
      </c>
      <c r="L37" s="3"/>
      <c r="M37" s="3" t="s">
        <v>467</v>
      </c>
    </row>
    <row r="38" spans="1:13" x14ac:dyDescent="0.25">
      <c r="A38" t="s">
        <v>67</v>
      </c>
      <c r="B38" t="s">
        <v>57</v>
      </c>
      <c r="C38" t="s">
        <v>18</v>
      </c>
      <c r="D38" s="3" t="s">
        <v>465</v>
      </c>
      <c r="E38" s="3" t="s">
        <v>470</v>
      </c>
      <c r="F38" s="1" t="e">
        <f>TEXT(#REF!,"YYYY-MM")</f>
        <v>#REF!</v>
      </c>
      <c r="G38" s="1" t="e">
        <f>TEXT(#REF!,"yyyy-mm")</f>
        <v>#REF!</v>
      </c>
      <c r="H38" s="1"/>
      <c r="I38" s="1"/>
      <c r="J38" t="s">
        <v>467</v>
      </c>
      <c r="K38" t="s">
        <v>467</v>
      </c>
      <c r="L38" s="3"/>
      <c r="M38" s="3" t="s">
        <v>467</v>
      </c>
    </row>
    <row r="39" spans="1:13" x14ac:dyDescent="0.25">
      <c r="A39" t="s">
        <v>68</v>
      </c>
      <c r="B39" t="s">
        <v>25</v>
      </c>
      <c r="C39" t="s">
        <v>18</v>
      </c>
      <c r="D39" s="3" t="s">
        <v>465</v>
      </c>
      <c r="E39" s="3" t="s">
        <v>466</v>
      </c>
      <c r="F39" s="1" t="e">
        <f>TEXT(#REF!,"YYYY-MM")</f>
        <v>#REF!</v>
      </c>
      <c r="G39" s="1" t="e">
        <f>TEXT(#REF!,"yyyy-mm")</f>
        <v>#REF!</v>
      </c>
      <c r="H39" s="1"/>
      <c r="I39" s="1"/>
      <c r="J39" t="s">
        <v>467</v>
      </c>
      <c r="K39" t="s">
        <v>467</v>
      </c>
      <c r="L39" s="3"/>
      <c r="M39" s="3" t="s">
        <v>467</v>
      </c>
    </row>
    <row r="40" spans="1:13" x14ac:dyDescent="0.25">
      <c r="A40" t="s">
        <v>69</v>
      </c>
      <c r="B40" t="s">
        <v>57</v>
      </c>
      <c r="C40" t="s">
        <v>18</v>
      </c>
      <c r="D40" s="3" t="s">
        <v>465</v>
      </c>
      <c r="E40" s="3" t="s">
        <v>473</v>
      </c>
      <c r="F40" s="1" t="e">
        <f>TEXT(#REF!,"YYYY-MM")</f>
        <v>#REF!</v>
      </c>
      <c r="G40" s="1" t="e">
        <f>TEXT(#REF!,"yyyy-mm")</f>
        <v>#REF!</v>
      </c>
      <c r="H40" s="1"/>
      <c r="I40" s="1"/>
      <c r="J40" t="s">
        <v>467</v>
      </c>
      <c r="K40" t="s">
        <v>467</v>
      </c>
      <c r="L40" s="3"/>
      <c r="M40" s="3" t="s">
        <v>467</v>
      </c>
    </row>
    <row r="41" spans="1:13" x14ac:dyDescent="0.25">
      <c r="A41" t="s">
        <v>70</v>
      </c>
      <c r="B41" t="s">
        <v>25</v>
      </c>
      <c r="C41" t="s">
        <v>18</v>
      </c>
      <c r="D41" s="3" t="s">
        <v>465</v>
      </c>
      <c r="E41" s="3" t="s">
        <v>468</v>
      </c>
      <c r="F41" s="1" t="e">
        <f>TEXT(#REF!,"YYYY-MM")</f>
        <v>#REF!</v>
      </c>
      <c r="G41" s="1" t="e">
        <f>TEXT(#REF!,"yyyy-mm")</f>
        <v>#REF!</v>
      </c>
      <c r="H41" s="1"/>
      <c r="I41" s="1"/>
      <c r="J41" t="s">
        <v>467</v>
      </c>
      <c r="K41" t="s">
        <v>467</v>
      </c>
      <c r="L41" s="3"/>
      <c r="M41" s="3" t="s">
        <v>467</v>
      </c>
    </row>
    <row r="42" spans="1:13" x14ac:dyDescent="0.25">
      <c r="A42" t="s">
        <v>71</v>
      </c>
      <c r="B42" t="s">
        <v>57</v>
      </c>
      <c r="C42" t="s">
        <v>18</v>
      </c>
      <c r="D42" s="3" t="s">
        <v>465</v>
      </c>
      <c r="E42" s="3" t="s">
        <v>472</v>
      </c>
      <c r="F42" s="1" t="e">
        <f>TEXT(#REF!,"YYYY-MM")</f>
        <v>#REF!</v>
      </c>
      <c r="G42" s="1" t="e">
        <f>TEXT(#REF!,"yyyy-mm")</f>
        <v>#REF!</v>
      </c>
      <c r="H42" s="1"/>
      <c r="I42" s="1"/>
      <c r="J42" t="s">
        <v>467</v>
      </c>
      <c r="K42" t="s">
        <v>467</v>
      </c>
      <c r="L42" s="3"/>
      <c r="M42" s="3" t="s">
        <v>467</v>
      </c>
    </row>
    <row r="43" spans="1:13" x14ac:dyDescent="0.25">
      <c r="A43" t="s">
        <v>72</v>
      </c>
      <c r="B43" t="s">
        <v>14</v>
      </c>
      <c r="C43" t="s">
        <v>18</v>
      </c>
      <c r="D43" s="3" t="s">
        <v>465</v>
      </c>
      <c r="E43" s="3" t="s">
        <v>468</v>
      </c>
      <c r="F43" s="1" t="e">
        <f>TEXT(#REF!,"YYYY-MM")</f>
        <v>#REF!</v>
      </c>
      <c r="G43" s="1" t="e">
        <f>TEXT(#REF!,"yyyy-mm")</f>
        <v>#REF!</v>
      </c>
      <c r="H43" s="1"/>
      <c r="I43" s="1"/>
      <c r="J43" t="s">
        <v>467</v>
      </c>
      <c r="K43" t="s">
        <v>467</v>
      </c>
      <c r="L43" s="3"/>
      <c r="M43" s="3" t="s">
        <v>467</v>
      </c>
    </row>
    <row r="44" spans="1:13" x14ac:dyDescent="0.25">
      <c r="A44" t="s">
        <v>73</v>
      </c>
      <c r="B44" t="s">
        <v>52</v>
      </c>
      <c r="C44" t="s">
        <v>18</v>
      </c>
      <c r="D44" s="3" t="s">
        <v>465</v>
      </c>
      <c r="E44" s="3" t="s">
        <v>470</v>
      </c>
      <c r="F44" s="1" t="e">
        <f>TEXT(#REF!,"YYYY-MM")</f>
        <v>#REF!</v>
      </c>
      <c r="G44" s="1" t="e">
        <f>TEXT(#REF!,"yyyy-mm")</f>
        <v>#REF!</v>
      </c>
      <c r="H44" s="1"/>
      <c r="I44" s="1"/>
      <c r="J44" t="s">
        <v>467</v>
      </c>
      <c r="K44" t="s">
        <v>467</v>
      </c>
      <c r="L44" s="3"/>
      <c r="M44" s="3" t="s">
        <v>467</v>
      </c>
    </row>
    <row r="45" spans="1:13" x14ac:dyDescent="0.25">
      <c r="A45" t="s">
        <v>75</v>
      </c>
      <c r="B45" t="s">
        <v>22</v>
      </c>
      <c r="C45" t="s">
        <v>18</v>
      </c>
      <c r="D45" s="3" t="s">
        <v>465</v>
      </c>
      <c r="E45" s="3" t="s">
        <v>474</v>
      </c>
      <c r="F45" s="1" t="e">
        <f>TEXT(#REF!,"YYYY-MM")</f>
        <v>#REF!</v>
      </c>
      <c r="G45" s="1" t="e">
        <f>TEXT(#REF!,"yyyy-mm")</f>
        <v>#REF!</v>
      </c>
      <c r="H45" s="1"/>
      <c r="I45" s="1"/>
      <c r="J45" t="s">
        <v>467</v>
      </c>
      <c r="K45" t="s">
        <v>467</v>
      </c>
      <c r="L45" s="3"/>
      <c r="M45" s="3" t="s">
        <v>467</v>
      </c>
    </row>
    <row r="46" spans="1:13" x14ac:dyDescent="0.25">
      <c r="A46" t="s">
        <v>76</v>
      </c>
      <c r="B46" t="s">
        <v>32</v>
      </c>
      <c r="C46" t="s">
        <v>18</v>
      </c>
      <c r="D46" s="3" t="s">
        <v>465</v>
      </c>
      <c r="E46" s="3" t="s">
        <v>469</v>
      </c>
      <c r="F46" s="1" t="e">
        <f>TEXT(#REF!,"YYYY-MM")</f>
        <v>#REF!</v>
      </c>
      <c r="G46" s="1" t="e">
        <f>TEXT(#REF!,"yyyy-mm")</f>
        <v>#REF!</v>
      </c>
      <c r="H46" s="1"/>
      <c r="I46" s="1"/>
      <c r="J46" t="s">
        <v>467</v>
      </c>
      <c r="K46" t="s">
        <v>467</v>
      </c>
      <c r="L46" s="3"/>
      <c r="M46" s="3" t="s">
        <v>467</v>
      </c>
    </row>
    <row r="47" spans="1:13" x14ac:dyDescent="0.25">
      <c r="A47" t="s">
        <v>77</v>
      </c>
      <c r="B47" t="s">
        <v>25</v>
      </c>
      <c r="C47" t="s">
        <v>18</v>
      </c>
      <c r="D47" s="3" t="s">
        <v>465</v>
      </c>
      <c r="E47" s="3" t="s">
        <v>469</v>
      </c>
      <c r="F47" s="1" t="e">
        <f>TEXT(#REF!,"YYYY-MM")</f>
        <v>#REF!</v>
      </c>
      <c r="G47" s="1" t="e">
        <f>TEXT(#REF!,"yyyy-mm")</f>
        <v>#REF!</v>
      </c>
      <c r="H47" s="1"/>
      <c r="I47" s="1"/>
      <c r="J47" t="s">
        <v>467</v>
      </c>
      <c r="K47" t="s">
        <v>467</v>
      </c>
      <c r="L47" s="3"/>
      <c r="M47" s="3" t="s">
        <v>467</v>
      </c>
    </row>
    <row r="48" spans="1:13" x14ac:dyDescent="0.25">
      <c r="A48" t="s">
        <v>78</v>
      </c>
      <c r="B48" t="s">
        <v>22</v>
      </c>
      <c r="C48" t="s">
        <v>18</v>
      </c>
      <c r="D48" s="3" t="s">
        <v>465</v>
      </c>
      <c r="E48" s="3" t="s">
        <v>470</v>
      </c>
      <c r="F48" s="1" t="e">
        <f>TEXT(#REF!,"YYYY-MM")</f>
        <v>#REF!</v>
      </c>
      <c r="G48" s="1" t="e">
        <f>TEXT(#REF!,"yyyy-mm")</f>
        <v>#REF!</v>
      </c>
      <c r="H48" s="1"/>
      <c r="I48" s="1"/>
      <c r="J48" t="s">
        <v>467</v>
      </c>
      <c r="K48" t="s">
        <v>467</v>
      </c>
      <c r="L48" s="3"/>
      <c r="M48" s="3" t="s">
        <v>467</v>
      </c>
    </row>
    <row r="49" spans="1:13" x14ac:dyDescent="0.25">
      <c r="A49" t="s">
        <v>79</v>
      </c>
      <c r="B49" t="s">
        <v>25</v>
      </c>
      <c r="C49" t="s">
        <v>18</v>
      </c>
      <c r="D49" s="3" t="s">
        <v>465</v>
      </c>
      <c r="E49" s="3" t="s">
        <v>474</v>
      </c>
      <c r="F49" s="1" t="e">
        <f>TEXT(#REF!,"YYYY-MM")</f>
        <v>#REF!</v>
      </c>
      <c r="G49" s="1" t="e">
        <f>TEXT(#REF!,"yyyy-mm")</f>
        <v>#REF!</v>
      </c>
      <c r="H49" s="1"/>
      <c r="I49" s="1"/>
      <c r="J49" t="s">
        <v>467</v>
      </c>
      <c r="K49" t="s">
        <v>467</v>
      </c>
      <c r="L49" s="3"/>
      <c r="M49" s="3" t="s">
        <v>467</v>
      </c>
    </row>
    <row r="50" spans="1:13" x14ac:dyDescent="0.25">
      <c r="A50" t="s">
        <v>80</v>
      </c>
      <c r="B50" t="s">
        <v>25</v>
      </c>
      <c r="C50" t="s">
        <v>18</v>
      </c>
      <c r="D50" s="3" t="s">
        <v>465</v>
      </c>
      <c r="E50" s="3" t="s">
        <v>466</v>
      </c>
      <c r="F50" s="1" t="e">
        <f>TEXT(#REF!,"YYYY-MM")</f>
        <v>#REF!</v>
      </c>
      <c r="G50" s="1" t="e">
        <f>TEXT(#REF!,"yyyy-mm")</f>
        <v>#REF!</v>
      </c>
      <c r="H50" s="1"/>
      <c r="I50" s="1"/>
      <c r="J50" t="s">
        <v>467</v>
      </c>
      <c r="K50" t="s">
        <v>467</v>
      </c>
      <c r="L50" s="3"/>
      <c r="M50" s="3" t="s">
        <v>467</v>
      </c>
    </row>
    <row r="51" spans="1:13" x14ac:dyDescent="0.25">
      <c r="A51" t="s">
        <v>81</v>
      </c>
      <c r="B51" t="s">
        <v>14</v>
      </c>
      <c r="C51" t="s">
        <v>18</v>
      </c>
      <c r="D51" s="3" t="s">
        <v>465</v>
      </c>
      <c r="E51" s="3" t="s">
        <v>473</v>
      </c>
      <c r="F51" s="1" t="e">
        <f>TEXT(#REF!,"YYYY-MM")</f>
        <v>#REF!</v>
      </c>
      <c r="G51" s="1" t="e">
        <f>TEXT(#REF!,"yyyy-mm")</f>
        <v>#REF!</v>
      </c>
      <c r="H51" s="1"/>
      <c r="I51" s="1"/>
      <c r="J51" t="s">
        <v>467</v>
      </c>
      <c r="K51" t="s">
        <v>467</v>
      </c>
      <c r="L51" s="3"/>
      <c r="M51" s="3" t="s">
        <v>467</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E4EB-DC4B-401E-A0C3-4F1BF9A2D408}">
  <dimension ref="A1:D51"/>
  <sheetViews>
    <sheetView topLeftCell="A2" workbookViewId="0">
      <selection activeCell="D2" sqref="D2:D51"/>
    </sheetView>
  </sheetViews>
  <sheetFormatPr defaultRowHeight="15" x14ac:dyDescent="0.25"/>
  <cols>
    <col min="1" max="1" width="10" bestFit="1" customWidth="1"/>
    <col min="2" max="2" width="13.85546875" bestFit="1" customWidth="1"/>
    <col min="3" max="3" width="18.7109375" bestFit="1" customWidth="1"/>
    <col min="4" max="4" width="22.85546875" bestFit="1" customWidth="1"/>
  </cols>
  <sheetData>
    <row r="1" spans="1:4" x14ac:dyDescent="0.25">
      <c r="A1" t="s">
        <v>0</v>
      </c>
      <c r="B1" t="s">
        <v>93</v>
      </c>
      <c r="C1" t="s">
        <v>94</v>
      </c>
      <c r="D1" t="s">
        <v>95</v>
      </c>
    </row>
    <row r="2" spans="1:4" x14ac:dyDescent="0.25">
      <c r="A2" t="s">
        <v>11</v>
      </c>
      <c r="B2">
        <v>1399100</v>
      </c>
      <c r="C2" s="1">
        <v>45383</v>
      </c>
      <c r="D2" s="13">
        <v>0.11</v>
      </c>
    </row>
    <row r="3" spans="1:4" x14ac:dyDescent="0.25">
      <c r="A3" t="s">
        <v>19</v>
      </c>
      <c r="B3">
        <v>674935</v>
      </c>
      <c r="C3" s="1">
        <v>45383</v>
      </c>
      <c r="D3" s="13">
        <v>0.08</v>
      </c>
    </row>
    <row r="4" spans="1:4" x14ac:dyDescent="0.25">
      <c r="A4" t="s">
        <v>24</v>
      </c>
      <c r="B4">
        <v>1010966</v>
      </c>
      <c r="C4" s="1">
        <v>45383</v>
      </c>
      <c r="D4" s="13">
        <v>7.0000000000000007E-2</v>
      </c>
    </row>
    <row r="5" spans="1:4" x14ac:dyDescent="0.25">
      <c r="A5" t="s">
        <v>28</v>
      </c>
      <c r="B5">
        <v>600105</v>
      </c>
      <c r="C5" s="1">
        <v>45383</v>
      </c>
      <c r="D5" s="13">
        <v>0.13</v>
      </c>
    </row>
    <row r="6" spans="1:4" x14ac:dyDescent="0.25">
      <c r="A6" t="s">
        <v>30</v>
      </c>
      <c r="B6">
        <v>448471</v>
      </c>
      <c r="C6" s="1">
        <v>45383</v>
      </c>
      <c r="D6" s="13">
        <v>0.08</v>
      </c>
    </row>
    <row r="7" spans="1:4" x14ac:dyDescent="0.25">
      <c r="A7" t="s">
        <v>33</v>
      </c>
      <c r="B7">
        <v>742377</v>
      </c>
      <c r="C7" s="1">
        <v>45383</v>
      </c>
      <c r="D7" s="13">
        <v>0.06</v>
      </c>
    </row>
    <row r="8" spans="1:4" x14ac:dyDescent="0.25">
      <c r="A8" t="s">
        <v>37</v>
      </c>
      <c r="B8">
        <v>1314373</v>
      </c>
      <c r="C8" s="1">
        <v>45383</v>
      </c>
      <c r="D8" s="13">
        <v>0.12</v>
      </c>
    </row>
    <row r="9" spans="1:4" x14ac:dyDescent="0.25">
      <c r="A9" t="s">
        <v>39</v>
      </c>
      <c r="B9">
        <v>306964</v>
      </c>
      <c r="C9" s="1">
        <v>45383</v>
      </c>
      <c r="D9" s="13">
        <v>0.06</v>
      </c>
    </row>
    <row r="10" spans="1:4" x14ac:dyDescent="0.25">
      <c r="A10" t="s">
        <v>42</v>
      </c>
      <c r="B10">
        <v>493011</v>
      </c>
      <c r="C10" s="1">
        <v>45383</v>
      </c>
      <c r="D10" s="13">
        <v>0.14000000000000001</v>
      </c>
    </row>
    <row r="11" spans="1:4" x14ac:dyDescent="0.25">
      <c r="A11" t="s">
        <v>45</v>
      </c>
      <c r="B11">
        <v>1109368</v>
      </c>
      <c r="C11" s="1">
        <v>45383</v>
      </c>
      <c r="D11" s="13">
        <v>0.08</v>
      </c>
    </row>
    <row r="12" spans="1:4" x14ac:dyDescent="0.25">
      <c r="A12" t="s">
        <v>47</v>
      </c>
      <c r="B12">
        <v>951502</v>
      </c>
      <c r="C12" s="1">
        <v>45383</v>
      </c>
      <c r="D12" s="13">
        <v>0.14000000000000001</v>
      </c>
    </row>
    <row r="13" spans="1:4" x14ac:dyDescent="0.25">
      <c r="A13" t="s">
        <v>48</v>
      </c>
      <c r="B13">
        <v>536804</v>
      </c>
      <c r="C13" s="1">
        <v>45383</v>
      </c>
      <c r="D13" s="13">
        <v>0.06</v>
      </c>
    </row>
    <row r="14" spans="1:4" x14ac:dyDescent="0.25">
      <c r="A14" t="s">
        <v>50</v>
      </c>
      <c r="B14">
        <v>446688</v>
      </c>
      <c r="C14" s="1">
        <v>45383</v>
      </c>
      <c r="D14" s="13">
        <v>0.05</v>
      </c>
    </row>
    <row r="15" spans="1:4" x14ac:dyDescent="0.25">
      <c r="A15" t="s">
        <v>51</v>
      </c>
      <c r="B15">
        <v>570320</v>
      </c>
      <c r="C15" s="1">
        <v>45383</v>
      </c>
      <c r="D15" s="13">
        <v>0.05</v>
      </c>
    </row>
    <row r="16" spans="1:4" x14ac:dyDescent="0.25">
      <c r="A16" t="s">
        <v>53</v>
      </c>
      <c r="B16">
        <v>471927</v>
      </c>
      <c r="C16" s="1">
        <v>45383</v>
      </c>
      <c r="D16" s="13">
        <v>0.13</v>
      </c>
    </row>
    <row r="17" spans="1:4" x14ac:dyDescent="0.25">
      <c r="A17" t="s">
        <v>54</v>
      </c>
      <c r="B17">
        <v>1229418</v>
      </c>
      <c r="C17" s="1">
        <v>45383</v>
      </c>
      <c r="D17" s="13">
        <v>0.11</v>
      </c>
    </row>
    <row r="18" spans="1:4" x14ac:dyDescent="0.25">
      <c r="A18" t="s">
        <v>55</v>
      </c>
      <c r="B18">
        <v>505969</v>
      </c>
      <c r="C18" s="1">
        <v>45383</v>
      </c>
      <c r="D18" s="13">
        <v>0.13</v>
      </c>
    </row>
    <row r="19" spans="1:4" x14ac:dyDescent="0.25">
      <c r="A19" t="s">
        <v>58</v>
      </c>
      <c r="B19">
        <v>953824</v>
      </c>
      <c r="C19" s="1">
        <v>45383</v>
      </c>
      <c r="D19" s="13">
        <v>0.14000000000000001</v>
      </c>
    </row>
    <row r="20" spans="1:4" x14ac:dyDescent="0.25">
      <c r="A20" t="s">
        <v>59</v>
      </c>
      <c r="B20">
        <v>1190272</v>
      </c>
      <c r="C20" s="1">
        <v>45383</v>
      </c>
      <c r="D20" s="13">
        <v>0.1</v>
      </c>
    </row>
    <row r="21" spans="1:4" x14ac:dyDescent="0.25">
      <c r="A21" t="s">
        <v>60</v>
      </c>
      <c r="B21">
        <v>1436662</v>
      </c>
      <c r="C21" s="1">
        <v>45383</v>
      </c>
      <c r="D21" s="13">
        <v>0.11</v>
      </c>
    </row>
    <row r="22" spans="1:4" x14ac:dyDescent="0.25">
      <c r="A22" t="s">
        <v>61</v>
      </c>
      <c r="B22">
        <v>428795</v>
      </c>
      <c r="C22" s="1">
        <v>45383</v>
      </c>
      <c r="D22" s="13">
        <v>0.14000000000000001</v>
      </c>
    </row>
    <row r="23" spans="1:4" x14ac:dyDescent="0.25">
      <c r="A23" t="s">
        <v>62</v>
      </c>
      <c r="B23">
        <v>1069142</v>
      </c>
      <c r="C23" s="1">
        <v>45383</v>
      </c>
      <c r="D23" s="13">
        <v>0.06</v>
      </c>
    </row>
    <row r="24" spans="1:4" x14ac:dyDescent="0.25">
      <c r="A24" t="s">
        <v>63</v>
      </c>
      <c r="B24">
        <v>1399272</v>
      </c>
      <c r="C24" s="1">
        <v>45383</v>
      </c>
      <c r="D24" s="13">
        <v>0.14000000000000001</v>
      </c>
    </row>
    <row r="25" spans="1:4" x14ac:dyDescent="0.25">
      <c r="A25" t="s">
        <v>64</v>
      </c>
      <c r="B25">
        <v>474051</v>
      </c>
      <c r="C25" s="1">
        <v>45383</v>
      </c>
      <c r="D25" s="13">
        <v>0.06</v>
      </c>
    </row>
    <row r="26" spans="1:4" x14ac:dyDescent="0.25">
      <c r="A26" t="s">
        <v>65</v>
      </c>
      <c r="B26">
        <v>950124</v>
      </c>
      <c r="C26" s="1">
        <v>45383</v>
      </c>
      <c r="D26" s="13">
        <v>0.14000000000000001</v>
      </c>
    </row>
    <row r="27" spans="1:4" x14ac:dyDescent="0.25">
      <c r="A27" t="s">
        <v>66</v>
      </c>
      <c r="B27">
        <v>1053049</v>
      </c>
      <c r="C27" s="1">
        <v>45383</v>
      </c>
      <c r="D27" s="13">
        <v>0.14000000000000001</v>
      </c>
    </row>
    <row r="28" spans="1:4" x14ac:dyDescent="0.25">
      <c r="A28" t="s">
        <v>67</v>
      </c>
      <c r="B28">
        <v>1435065</v>
      </c>
      <c r="C28" s="1">
        <v>45383</v>
      </c>
      <c r="D28" s="13">
        <v>7.0000000000000007E-2</v>
      </c>
    </row>
    <row r="29" spans="1:4" x14ac:dyDescent="0.25">
      <c r="A29" t="s">
        <v>68</v>
      </c>
      <c r="B29">
        <v>1159741</v>
      </c>
      <c r="C29" s="1">
        <v>45383</v>
      </c>
      <c r="D29" s="13">
        <v>7.0000000000000007E-2</v>
      </c>
    </row>
    <row r="30" spans="1:4" x14ac:dyDescent="0.25">
      <c r="A30" t="s">
        <v>69</v>
      </c>
      <c r="B30">
        <v>929138</v>
      </c>
      <c r="C30" s="1">
        <v>45383</v>
      </c>
      <c r="D30" s="13">
        <v>0.13</v>
      </c>
    </row>
    <row r="31" spans="1:4" x14ac:dyDescent="0.25">
      <c r="A31" t="s">
        <v>70</v>
      </c>
      <c r="B31">
        <v>1312578</v>
      </c>
      <c r="C31" s="1">
        <v>45383</v>
      </c>
      <c r="D31" s="13">
        <v>0.1</v>
      </c>
    </row>
    <row r="32" spans="1:4" x14ac:dyDescent="0.25">
      <c r="A32" t="s">
        <v>71</v>
      </c>
      <c r="B32">
        <v>1048803</v>
      </c>
      <c r="C32" s="1">
        <v>45383</v>
      </c>
      <c r="D32" s="13">
        <v>0.1</v>
      </c>
    </row>
    <row r="33" spans="1:4" x14ac:dyDescent="0.25">
      <c r="A33" t="s">
        <v>72</v>
      </c>
      <c r="B33">
        <v>482183</v>
      </c>
      <c r="C33" s="1">
        <v>45383</v>
      </c>
      <c r="D33" s="13">
        <v>0.08</v>
      </c>
    </row>
    <row r="34" spans="1:4" x14ac:dyDescent="0.25">
      <c r="A34" t="s">
        <v>73</v>
      </c>
      <c r="B34">
        <v>845623</v>
      </c>
      <c r="C34" s="1">
        <v>45383</v>
      </c>
      <c r="D34" s="13">
        <v>0.13</v>
      </c>
    </row>
    <row r="35" spans="1:4" x14ac:dyDescent="0.25">
      <c r="A35" t="s">
        <v>75</v>
      </c>
      <c r="B35">
        <v>1051978</v>
      </c>
      <c r="C35" s="1">
        <v>45383</v>
      </c>
      <c r="D35" s="13">
        <v>0.09</v>
      </c>
    </row>
    <row r="36" spans="1:4" x14ac:dyDescent="0.25">
      <c r="A36" t="s">
        <v>76</v>
      </c>
      <c r="B36">
        <v>405935</v>
      </c>
      <c r="C36" s="1">
        <v>45383</v>
      </c>
      <c r="D36" s="13">
        <v>0.13</v>
      </c>
    </row>
    <row r="37" spans="1:4" x14ac:dyDescent="0.25">
      <c r="A37" t="s">
        <v>77</v>
      </c>
      <c r="B37">
        <v>958981</v>
      </c>
      <c r="C37" s="1">
        <v>45383</v>
      </c>
      <c r="D37" s="13">
        <v>7.0000000000000007E-2</v>
      </c>
    </row>
    <row r="38" spans="1:4" x14ac:dyDescent="0.25">
      <c r="A38" t="s">
        <v>78</v>
      </c>
      <c r="B38">
        <v>493398</v>
      </c>
      <c r="C38" s="1">
        <v>45383</v>
      </c>
      <c r="D38" s="13">
        <v>7.0000000000000007E-2</v>
      </c>
    </row>
    <row r="39" spans="1:4" x14ac:dyDescent="0.25">
      <c r="A39" t="s">
        <v>79</v>
      </c>
      <c r="B39">
        <v>1439155</v>
      </c>
      <c r="C39" s="1">
        <v>45383</v>
      </c>
      <c r="D39" s="13">
        <v>0.1</v>
      </c>
    </row>
    <row r="40" spans="1:4" x14ac:dyDescent="0.25">
      <c r="A40" t="s">
        <v>80</v>
      </c>
      <c r="B40">
        <v>538527</v>
      </c>
      <c r="C40" s="1">
        <v>45383</v>
      </c>
      <c r="D40" s="13">
        <v>0.14000000000000001</v>
      </c>
    </row>
    <row r="41" spans="1:4" x14ac:dyDescent="0.25">
      <c r="A41" t="s">
        <v>81</v>
      </c>
      <c r="B41">
        <v>924847</v>
      </c>
      <c r="C41" s="1">
        <v>45383</v>
      </c>
      <c r="D41" s="13">
        <v>0.08</v>
      </c>
    </row>
    <row r="42" spans="1:4" x14ac:dyDescent="0.25">
      <c r="A42" t="s">
        <v>82</v>
      </c>
      <c r="B42">
        <v>1342016</v>
      </c>
      <c r="C42" s="1">
        <v>45383</v>
      </c>
      <c r="D42" s="13">
        <v>0.08</v>
      </c>
    </row>
    <row r="43" spans="1:4" x14ac:dyDescent="0.25">
      <c r="A43" t="s">
        <v>84</v>
      </c>
      <c r="B43">
        <v>1395516</v>
      </c>
      <c r="C43" s="1">
        <v>45383</v>
      </c>
      <c r="D43" s="13">
        <v>0.09</v>
      </c>
    </row>
    <row r="44" spans="1:4" x14ac:dyDescent="0.25">
      <c r="A44" t="s">
        <v>85</v>
      </c>
      <c r="B44">
        <v>1290730</v>
      </c>
      <c r="C44" s="1">
        <v>45383</v>
      </c>
      <c r="D44" s="13">
        <v>7.0000000000000007E-2</v>
      </c>
    </row>
    <row r="45" spans="1:4" x14ac:dyDescent="0.25">
      <c r="A45" t="s">
        <v>86</v>
      </c>
      <c r="B45">
        <v>975479</v>
      </c>
      <c r="C45" s="1">
        <v>45383</v>
      </c>
      <c r="D45" s="13">
        <v>0.13</v>
      </c>
    </row>
    <row r="46" spans="1:4" x14ac:dyDescent="0.25">
      <c r="A46" t="s">
        <v>87</v>
      </c>
      <c r="B46">
        <v>1496475</v>
      </c>
      <c r="C46" s="1">
        <v>45383</v>
      </c>
      <c r="D46" s="13">
        <v>0.06</v>
      </c>
    </row>
    <row r="47" spans="1:4" x14ac:dyDescent="0.25">
      <c r="A47" t="s">
        <v>88</v>
      </c>
      <c r="B47">
        <v>993091</v>
      </c>
      <c r="C47" s="1">
        <v>45383</v>
      </c>
      <c r="D47" s="13">
        <v>0.12</v>
      </c>
    </row>
    <row r="48" spans="1:4" x14ac:dyDescent="0.25">
      <c r="A48" t="s">
        <v>89</v>
      </c>
      <c r="B48">
        <v>818126</v>
      </c>
      <c r="C48" s="1">
        <v>45383</v>
      </c>
      <c r="D48" s="13">
        <v>0.13</v>
      </c>
    </row>
    <row r="49" spans="1:4" x14ac:dyDescent="0.25">
      <c r="A49" t="s">
        <v>90</v>
      </c>
      <c r="B49">
        <v>762005</v>
      </c>
      <c r="C49" s="1">
        <v>45383</v>
      </c>
      <c r="D49" s="13">
        <v>0.12</v>
      </c>
    </row>
    <row r="50" spans="1:4" x14ac:dyDescent="0.25">
      <c r="A50" t="s">
        <v>91</v>
      </c>
      <c r="B50">
        <v>683945</v>
      </c>
      <c r="C50" s="1">
        <v>45383</v>
      </c>
      <c r="D50" s="13">
        <v>7.0000000000000007E-2</v>
      </c>
    </row>
    <row r="51" spans="1:4" x14ac:dyDescent="0.25">
      <c r="A51" t="s">
        <v>92</v>
      </c>
      <c r="B51">
        <v>852411</v>
      </c>
      <c r="C51" s="1">
        <v>45383</v>
      </c>
      <c r="D51" s="13">
        <v>0.12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22C13-5954-45B2-9CA3-1DE2FCFDF496}">
  <dimension ref="A1:P201"/>
  <sheetViews>
    <sheetView workbookViewId="0">
      <selection activeCell="P3" sqref="P3:P42"/>
    </sheetView>
  </sheetViews>
  <sheetFormatPr defaultRowHeight="15" x14ac:dyDescent="0.25"/>
  <cols>
    <col min="1" max="1" width="15.5703125" bestFit="1" customWidth="1"/>
    <col min="2" max="2" width="10" bestFit="1" customWidth="1"/>
    <col min="3" max="3" width="18.85546875" bestFit="1" customWidth="1"/>
    <col min="4" max="4" width="20.28515625" bestFit="1" customWidth="1"/>
    <col min="5" max="5" width="15.85546875" style="3" bestFit="1" customWidth="1"/>
    <col min="7" max="7" width="18.140625" bestFit="1" customWidth="1"/>
    <col min="8" max="8" width="16.28515625" bestFit="1" customWidth="1"/>
    <col min="9" max="12" width="8.7109375" bestFit="1" customWidth="1"/>
    <col min="13" max="13" width="7.28515625" bestFit="1" customWidth="1"/>
    <col min="14" max="14" width="11.28515625" bestFit="1" customWidth="1"/>
  </cols>
  <sheetData>
    <row r="1" spans="1:16" x14ac:dyDescent="0.25">
      <c r="A1" t="s">
        <v>96</v>
      </c>
      <c r="B1" t="s">
        <v>0</v>
      </c>
      <c r="C1" t="s">
        <v>97</v>
      </c>
      <c r="D1" t="s">
        <v>98</v>
      </c>
      <c r="E1" s="3" t="s">
        <v>523</v>
      </c>
      <c r="G1" s="8" t="s">
        <v>525</v>
      </c>
      <c r="H1" s="8" t="s">
        <v>526</v>
      </c>
    </row>
    <row r="2" spans="1:16" x14ac:dyDescent="0.25">
      <c r="A2" t="s">
        <v>99</v>
      </c>
      <c r="B2" t="s">
        <v>11</v>
      </c>
      <c r="C2" s="1">
        <v>45292</v>
      </c>
      <c r="D2" t="s">
        <v>100</v>
      </c>
      <c r="E2" s="3">
        <f>IF(Attendance_Status_Updated[[#This Row],[Attendance_Status]]="Absent",1,0)</f>
        <v>0</v>
      </c>
      <c r="G2" s="8" t="s">
        <v>455</v>
      </c>
      <c r="H2" s="1">
        <v>45292</v>
      </c>
      <c r="I2" s="1">
        <v>45293</v>
      </c>
      <c r="J2" s="1">
        <v>45294</v>
      </c>
      <c r="K2" s="1">
        <v>45295</v>
      </c>
      <c r="L2" s="1">
        <v>45296</v>
      </c>
      <c r="M2" t="s">
        <v>524</v>
      </c>
      <c r="N2" t="s">
        <v>456</v>
      </c>
    </row>
    <row r="3" spans="1:16" x14ac:dyDescent="0.25">
      <c r="A3" t="s">
        <v>101</v>
      </c>
      <c r="B3" t="s">
        <v>19</v>
      </c>
      <c r="C3" s="1">
        <v>45292</v>
      </c>
      <c r="D3" t="s">
        <v>100</v>
      </c>
      <c r="E3" s="3">
        <f>IF(Attendance_Status_Updated[[#This Row],[Attendance_Status]]="Absent",1,0)</f>
        <v>0</v>
      </c>
      <c r="G3" s="9" t="s">
        <v>11</v>
      </c>
      <c r="H3">
        <v>0</v>
      </c>
      <c r="I3">
        <v>0</v>
      </c>
      <c r="J3">
        <v>0</v>
      </c>
      <c r="K3">
        <v>0</v>
      </c>
      <c r="L3">
        <v>0</v>
      </c>
      <c r="N3">
        <v>0</v>
      </c>
      <c r="O3">
        <v>0</v>
      </c>
      <c r="P3" t="str">
        <f>IF(O3,"YES","NO")</f>
        <v>NO</v>
      </c>
    </row>
    <row r="4" spans="1:16" x14ac:dyDescent="0.25">
      <c r="A4" t="s">
        <v>102</v>
      </c>
      <c r="B4" t="s">
        <v>24</v>
      </c>
      <c r="C4" s="1">
        <v>45292</v>
      </c>
      <c r="D4" t="s">
        <v>100</v>
      </c>
      <c r="E4" s="3">
        <f>IF(Attendance_Status_Updated[[#This Row],[Attendance_Status]]="Absent",1,0)</f>
        <v>0</v>
      </c>
      <c r="G4" s="9" t="s">
        <v>19</v>
      </c>
      <c r="H4">
        <v>0</v>
      </c>
      <c r="I4">
        <v>0</v>
      </c>
      <c r="J4">
        <v>0</v>
      </c>
      <c r="K4">
        <v>0</v>
      </c>
      <c r="L4">
        <v>0</v>
      </c>
      <c r="N4">
        <v>0</v>
      </c>
      <c r="O4">
        <v>0</v>
      </c>
      <c r="P4" t="str">
        <f t="shared" ref="P4:P42" si="0">IF(O4,"YES","NO")</f>
        <v>NO</v>
      </c>
    </row>
    <row r="5" spans="1:16" x14ac:dyDescent="0.25">
      <c r="A5" t="s">
        <v>103</v>
      </c>
      <c r="B5" t="s">
        <v>28</v>
      </c>
      <c r="C5" s="1">
        <v>45292</v>
      </c>
      <c r="D5" t="s">
        <v>100</v>
      </c>
      <c r="E5" s="3">
        <f>IF(Attendance_Status_Updated[[#This Row],[Attendance_Status]]="Absent",1,0)</f>
        <v>0</v>
      </c>
      <c r="G5" s="9" t="s">
        <v>24</v>
      </c>
      <c r="H5">
        <v>0</v>
      </c>
      <c r="I5">
        <v>0</v>
      </c>
      <c r="J5">
        <v>0</v>
      </c>
      <c r="K5">
        <v>0</v>
      </c>
      <c r="L5">
        <v>0</v>
      </c>
      <c r="N5">
        <v>0</v>
      </c>
      <c r="O5">
        <v>2</v>
      </c>
      <c r="P5" t="str">
        <f t="shared" si="0"/>
        <v>YES</v>
      </c>
    </row>
    <row r="6" spans="1:16" x14ac:dyDescent="0.25">
      <c r="A6" t="s">
        <v>104</v>
      </c>
      <c r="B6" t="s">
        <v>30</v>
      </c>
      <c r="C6" s="1">
        <v>45292</v>
      </c>
      <c r="D6" t="s">
        <v>100</v>
      </c>
      <c r="E6" s="3">
        <f>IF(Attendance_Status_Updated[[#This Row],[Attendance_Status]]="Absent",1,0)</f>
        <v>0</v>
      </c>
      <c r="G6" s="9" t="s">
        <v>28</v>
      </c>
      <c r="H6">
        <v>0</v>
      </c>
      <c r="I6">
        <v>0</v>
      </c>
      <c r="J6">
        <v>0</v>
      </c>
      <c r="K6">
        <v>0</v>
      </c>
      <c r="L6">
        <v>0</v>
      </c>
      <c r="N6">
        <v>0</v>
      </c>
      <c r="O6">
        <v>0</v>
      </c>
      <c r="P6" t="str">
        <f t="shared" si="0"/>
        <v>NO</v>
      </c>
    </row>
    <row r="7" spans="1:16" x14ac:dyDescent="0.25">
      <c r="A7" t="s">
        <v>105</v>
      </c>
      <c r="B7" t="s">
        <v>33</v>
      </c>
      <c r="C7" s="1">
        <v>45292</v>
      </c>
      <c r="D7" t="s">
        <v>100</v>
      </c>
      <c r="E7" s="3">
        <f>IF(Attendance_Status_Updated[[#This Row],[Attendance_Status]]="Absent",1,0)</f>
        <v>0</v>
      </c>
      <c r="G7" s="9" t="s">
        <v>30</v>
      </c>
      <c r="H7">
        <v>0</v>
      </c>
      <c r="I7">
        <v>0</v>
      </c>
      <c r="J7">
        <v>0</v>
      </c>
      <c r="K7">
        <v>1</v>
      </c>
      <c r="L7">
        <v>0</v>
      </c>
      <c r="N7">
        <v>1</v>
      </c>
      <c r="O7">
        <v>1</v>
      </c>
      <c r="P7" t="str">
        <f t="shared" si="0"/>
        <v>YES</v>
      </c>
    </row>
    <row r="8" spans="1:16" x14ac:dyDescent="0.25">
      <c r="A8" t="s">
        <v>106</v>
      </c>
      <c r="B8" t="s">
        <v>37</v>
      </c>
      <c r="C8" s="1">
        <v>45292</v>
      </c>
      <c r="D8" t="s">
        <v>100</v>
      </c>
      <c r="E8" s="3">
        <f>IF(Attendance_Status_Updated[[#This Row],[Attendance_Status]]="Absent",1,0)</f>
        <v>0</v>
      </c>
      <c r="G8" s="9" t="s">
        <v>33</v>
      </c>
      <c r="H8">
        <v>0</v>
      </c>
      <c r="I8">
        <v>0</v>
      </c>
      <c r="J8">
        <v>0</v>
      </c>
      <c r="K8">
        <v>0</v>
      </c>
      <c r="L8">
        <v>1</v>
      </c>
      <c r="N8">
        <v>1</v>
      </c>
      <c r="O8">
        <v>2</v>
      </c>
      <c r="P8" t="str">
        <f t="shared" si="0"/>
        <v>YES</v>
      </c>
    </row>
    <row r="9" spans="1:16" x14ac:dyDescent="0.25">
      <c r="A9" t="s">
        <v>107</v>
      </c>
      <c r="B9" t="s">
        <v>39</v>
      </c>
      <c r="C9" s="1">
        <v>45292</v>
      </c>
      <c r="D9" t="s">
        <v>100</v>
      </c>
      <c r="E9" s="3">
        <f>IF(Attendance_Status_Updated[[#This Row],[Attendance_Status]]="Absent",1,0)</f>
        <v>0</v>
      </c>
      <c r="G9" s="9" t="s">
        <v>37</v>
      </c>
      <c r="H9">
        <v>0</v>
      </c>
      <c r="I9">
        <v>0</v>
      </c>
      <c r="J9">
        <v>0</v>
      </c>
      <c r="K9">
        <v>0</v>
      </c>
      <c r="L9">
        <v>0</v>
      </c>
      <c r="N9">
        <v>0</v>
      </c>
      <c r="O9">
        <v>0</v>
      </c>
      <c r="P9" t="str">
        <f t="shared" si="0"/>
        <v>NO</v>
      </c>
    </row>
    <row r="10" spans="1:16" x14ac:dyDescent="0.25">
      <c r="A10" t="s">
        <v>108</v>
      </c>
      <c r="B10" t="s">
        <v>42</v>
      </c>
      <c r="C10" s="1">
        <v>45292</v>
      </c>
      <c r="D10" t="s">
        <v>100</v>
      </c>
      <c r="E10" s="3">
        <f>IF(Attendance_Status_Updated[[#This Row],[Attendance_Status]]="Absent",1,0)</f>
        <v>0</v>
      </c>
      <c r="G10" s="9" t="s">
        <v>39</v>
      </c>
      <c r="H10">
        <v>0</v>
      </c>
      <c r="I10">
        <v>0</v>
      </c>
      <c r="J10">
        <v>0</v>
      </c>
      <c r="K10">
        <v>0</v>
      </c>
      <c r="L10">
        <v>0</v>
      </c>
      <c r="N10">
        <v>0</v>
      </c>
      <c r="O10">
        <v>0</v>
      </c>
      <c r="P10" t="str">
        <f t="shared" si="0"/>
        <v>NO</v>
      </c>
    </row>
    <row r="11" spans="1:16" x14ac:dyDescent="0.25">
      <c r="A11" t="s">
        <v>109</v>
      </c>
      <c r="B11" t="s">
        <v>45</v>
      </c>
      <c r="C11" s="1">
        <v>45292</v>
      </c>
      <c r="D11" t="s">
        <v>100</v>
      </c>
      <c r="E11" s="3">
        <f>IF(Attendance_Status_Updated[[#This Row],[Attendance_Status]]="Absent",1,0)</f>
        <v>0</v>
      </c>
      <c r="G11" s="9" t="s">
        <v>42</v>
      </c>
      <c r="H11">
        <v>0</v>
      </c>
      <c r="I11">
        <v>0</v>
      </c>
      <c r="J11">
        <v>0</v>
      </c>
      <c r="K11">
        <v>0</v>
      </c>
      <c r="L11">
        <v>0</v>
      </c>
      <c r="N11">
        <v>0</v>
      </c>
      <c r="O11">
        <v>0</v>
      </c>
      <c r="P11" t="str">
        <f t="shared" si="0"/>
        <v>NO</v>
      </c>
    </row>
    <row r="12" spans="1:16" x14ac:dyDescent="0.25">
      <c r="A12" t="s">
        <v>110</v>
      </c>
      <c r="B12" t="s">
        <v>47</v>
      </c>
      <c r="C12" s="1">
        <v>45292</v>
      </c>
      <c r="D12" t="s">
        <v>100</v>
      </c>
      <c r="E12" s="3">
        <f>IF(Attendance_Status_Updated[[#This Row],[Attendance_Status]]="Absent",1,0)</f>
        <v>0</v>
      </c>
      <c r="G12" s="9" t="s">
        <v>45</v>
      </c>
      <c r="H12">
        <v>0</v>
      </c>
      <c r="I12">
        <v>0</v>
      </c>
      <c r="J12">
        <v>0</v>
      </c>
      <c r="K12">
        <v>0</v>
      </c>
      <c r="L12">
        <v>0</v>
      </c>
      <c r="N12">
        <v>0</v>
      </c>
      <c r="O12">
        <v>0</v>
      </c>
      <c r="P12" t="str">
        <f t="shared" si="0"/>
        <v>NO</v>
      </c>
    </row>
    <row r="13" spans="1:16" x14ac:dyDescent="0.25">
      <c r="A13" t="s">
        <v>111</v>
      </c>
      <c r="B13" t="s">
        <v>48</v>
      </c>
      <c r="C13" s="1">
        <v>45292</v>
      </c>
      <c r="D13" t="s">
        <v>100</v>
      </c>
      <c r="E13" s="3">
        <f>IF(Attendance_Status_Updated[[#This Row],[Attendance_Status]]="Absent",1,0)</f>
        <v>0</v>
      </c>
      <c r="G13" s="9" t="s">
        <v>47</v>
      </c>
      <c r="H13">
        <v>0</v>
      </c>
      <c r="I13">
        <v>0</v>
      </c>
      <c r="J13">
        <v>0</v>
      </c>
      <c r="K13">
        <v>0</v>
      </c>
      <c r="L13">
        <v>0</v>
      </c>
      <c r="N13">
        <v>0</v>
      </c>
      <c r="O13">
        <v>0</v>
      </c>
      <c r="P13" t="str">
        <f t="shared" si="0"/>
        <v>NO</v>
      </c>
    </row>
    <row r="14" spans="1:16" x14ac:dyDescent="0.25">
      <c r="A14" t="s">
        <v>112</v>
      </c>
      <c r="B14" t="s">
        <v>50</v>
      </c>
      <c r="C14" s="1">
        <v>45292</v>
      </c>
      <c r="D14" t="s">
        <v>100</v>
      </c>
      <c r="E14" s="3">
        <f>IF(Attendance_Status_Updated[[#This Row],[Attendance_Status]]="Absent",1,0)</f>
        <v>0</v>
      </c>
      <c r="G14" s="9" t="s">
        <v>48</v>
      </c>
      <c r="H14">
        <v>0</v>
      </c>
      <c r="I14">
        <v>0</v>
      </c>
      <c r="J14">
        <v>0</v>
      </c>
      <c r="K14">
        <v>1</v>
      </c>
      <c r="L14">
        <v>0</v>
      </c>
      <c r="N14">
        <v>1</v>
      </c>
      <c r="O14">
        <v>1</v>
      </c>
      <c r="P14" t="str">
        <f t="shared" si="0"/>
        <v>YES</v>
      </c>
    </row>
    <row r="15" spans="1:16" x14ac:dyDescent="0.25">
      <c r="A15" t="s">
        <v>113</v>
      </c>
      <c r="B15" t="s">
        <v>51</v>
      </c>
      <c r="C15" s="1">
        <v>45292</v>
      </c>
      <c r="D15" t="s">
        <v>100</v>
      </c>
      <c r="E15" s="3">
        <f>IF(Attendance_Status_Updated[[#This Row],[Attendance_Status]]="Absent",1,0)</f>
        <v>0</v>
      </c>
      <c r="G15" s="9" t="s">
        <v>50</v>
      </c>
      <c r="H15">
        <v>0</v>
      </c>
      <c r="I15">
        <v>0</v>
      </c>
      <c r="J15">
        <v>0</v>
      </c>
      <c r="K15">
        <v>0</v>
      </c>
      <c r="L15">
        <v>1</v>
      </c>
      <c r="N15">
        <v>1</v>
      </c>
      <c r="O15">
        <v>1</v>
      </c>
      <c r="P15" t="str">
        <f t="shared" si="0"/>
        <v>YES</v>
      </c>
    </row>
    <row r="16" spans="1:16" x14ac:dyDescent="0.25">
      <c r="A16" t="s">
        <v>114</v>
      </c>
      <c r="B16" t="s">
        <v>53</v>
      </c>
      <c r="C16" s="1">
        <v>45292</v>
      </c>
      <c r="D16" t="s">
        <v>100</v>
      </c>
      <c r="E16" s="3">
        <f>IF(Attendance_Status_Updated[[#This Row],[Attendance_Status]]="Absent",1,0)</f>
        <v>0</v>
      </c>
      <c r="G16" s="9" t="s">
        <v>51</v>
      </c>
      <c r="H16">
        <v>0</v>
      </c>
      <c r="I16">
        <v>0</v>
      </c>
      <c r="J16">
        <v>0</v>
      </c>
      <c r="K16">
        <v>0</v>
      </c>
      <c r="L16">
        <v>0</v>
      </c>
      <c r="N16">
        <v>0</v>
      </c>
      <c r="O16">
        <v>1</v>
      </c>
      <c r="P16" t="str">
        <f t="shared" si="0"/>
        <v>YES</v>
      </c>
    </row>
    <row r="17" spans="1:16" x14ac:dyDescent="0.25">
      <c r="A17" t="s">
        <v>115</v>
      </c>
      <c r="B17" t="s">
        <v>54</v>
      </c>
      <c r="C17" s="1">
        <v>45292</v>
      </c>
      <c r="D17" t="s">
        <v>100</v>
      </c>
      <c r="E17" s="3">
        <f>IF(Attendance_Status_Updated[[#This Row],[Attendance_Status]]="Absent",1,0)</f>
        <v>0</v>
      </c>
      <c r="G17" s="9" t="s">
        <v>53</v>
      </c>
      <c r="H17">
        <v>0</v>
      </c>
      <c r="I17">
        <v>0</v>
      </c>
      <c r="J17">
        <v>0</v>
      </c>
      <c r="K17">
        <v>0</v>
      </c>
      <c r="L17">
        <v>0</v>
      </c>
      <c r="N17">
        <v>0</v>
      </c>
      <c r="O17">
        <v>0</v>
      </c>
      <c r="P17" t="str">
        <f t="shared" si="0"/>
        <v>NO</v>
      </c>
    </row>
    <row r="18" spans="1:16" x14ac:dyDescent="0.25">
      <c r="A18" t="s">
        <v>116</v>
      </c>
      <c r="B18" t="s">
        <v>55</v>
      </c>
      <c r="C18" s="1">
        <v>45292</v>
      </c>
      <c r="D18" t="s">
        <v>100</v>
      </c>
      <c r="E18" s="3">
        <f>IF(Attendance_Status_Updated[[#This Row],[Attendance_Status]]="Absent",1,0)</f>
        <v>0</v>
      </c>
      <c r="G18" s="9" t="s">
        <v>54</v>
      </c>
      <c r="H18">
        <v>0</v>
      </c>
      <c r="I18">
        <v>0</v>
      </c>
      <c r="J18">
        <v>0</v>
      </c>
      <c r="K18">
        <v>0</v>
      </c>
      <c r="L18">
        <v>0</v>
      </c>
      <c r="N18">
        <v>0</v>
      </c>
      <c r="O18">
        <v>0</v>
      </c>
      <c r="P18" t="str">
        <f t="shared" si="0"/>
        <v>NO</v>
      </c>
    </row>
    <row r="19" spans="1:16" x14ac:dyDescent="0.25">
      <c r="A19" t="s">
        <v>117</v>
      </c>
      <c r="B19" t="s">
        <v>58</v>
      </c>
      <c r="C19" s="1">
        <v>45292</v>
      </c>
      <c r="D19" t="s">
        <v>100</v>
      </c>
      <c r="E19" s="3">
        <f>IF(Attendance_Status_Updated[[#This Row],[Attendance_Status]]="Absent",1,0)</f>
        <v>0</v>
      </c>
      <c r="G19" s="9" t="s">
        <v>55</v>
      </c>
      <c r="H19">
        <v>0</v>
      </c>
      <c r="I19">
        <v>0</v>
      </c>
      <c r="J19">
        <v>0</v>
      </c>
      <c r="K19">
        <v>1</v>
      </c>
      <c r="L19">
        <v>0</v>
      </c>
      <c r="N19">
        <v>1</v>
      </c>
      <c r="O19">
        <v>2</v>
      </c>
      <c r="P19" t="str">
        <f t="shared" si="0"/>
        <v>YES</v>
      </c>
    </row>
    <row r="20" spans="1:16" x14ac:dyDescent="0.25">
      <c r="A20" t="s">
        <v>118</v>
      </c>
      <c r="B20" t="s">
        <v>59</v>
      </c>
      <c r="C20" s="1">
        <v>45292</v>
      </c>
      <c r="D20" t="s">
        <v>100</v>
      </c>
      <c r="E20" s="3">
        <f>IF(Attendance_Status_Updated[[#This Row],[Attendance_Status]]="Absent",1,0)</f>
        <v>0</v>
      </c>
      <c r="G20" s="9" t="s">
        <v>58</v>
      </c>
      <c r="H20">
        <v>0</v>
      </c>
      <c r="I20">
        <v>0</v>
      </c>
      <c r="J20">
        <v>0</v>
      </c>
      <c r="K20">
        <v>0</v>
      </c>
      <c r="L20">
        <v>0</v>
      </c>
      <c r="N20">
        <v>0</v>
      </c>
      <c r="O20">
        <v>0</v>
      </c>
      <c r="P20" t="str">
        <f t="shared" si="0"/>
        <v>NO</v>
      </c>
    </row>
    <row r="21" spans="1:16" x14ac:dyDescent="0.25">
      <c r="A21" t="s">
        <v>119</v>
      </c>
      <c r="B21" t="s">
        <v>60</v>
      </c>
      <c r="C21" s="1">
        <v>45292</v>
      </c>
      <c r="D21" t="s">
        <v>100</v>
      </c>
      <c r="E21" s="3">
        <f>IF(Attendance_Status_Updated[[#This Row],[Attendance_Status]]="Absent",1,0)</f>
        <v>0</v>
      </c>
      <c r="G21" s="9" t="s">
        <v>59</v>
      </c>
      <c r="H21">
        <v>0</v>
      </c>
      <c r="I21">
        <v>1</v>
      </c>
      <c r="J21">
        <v>0</v>
      </c>
      <c r="K21">
        <v>0</v>
      </c>
      <c r="L21">
        <v>0</v>
      </c>
      <c r="N21">
        <v>1</v>
      </c>
      <c r="O21">
        <v>1</v>
      </c>
      <c r="P21" t="str">
        <f t="shared" si="0"/>
        <v>YES</v>
      </c>
    </row>
    <row r="22" spans="1:16" x14ac:dyDescent="0.25">
      <c r="A22" t="s">
        <v>120</v>
      </c>
      <c r="B22" t="s">
        <v>61</v>
      </c>
      <c r="C22" s="1">
        <v>45292</v>
      </c>
      <c r="D22" t="s">
        <v>100</v>
      </c>
      <c r="E22" s="3">
        <f>IF(Attendance_Status_Updated[[#This Row],[Attendance_Status]]="Absent",1,0)</f>
        <v>0</v>
      </c>
      <c r="G22" s="9" t="s">
        <v>60</v>
      </c>
      <c r="H22">
        <v>0</v>
      </c>
      <c r="I22">
        <v>0</v>
      </c>
      <c r="J22">
        <v>0</v>
      </c>
      <c r="K22">
        <v>0</v>
      </c>
      <c r="L22">
        <v>0</v>
      </c>
      <c r="N22">
        <v>0</v>
      </c>
      <c r="O22">
        <v>0</v>
      </c>
      <c r="P22" t="str">
        <f t="shared" si="0"/>
        <v>NO</v>
      </c>
    </row>
    <row r="23" spans="1:16" x14ac:dyDescent="0.25">
      <c r="A23" t="s">
        <v>121</v>
      </c>
      <c r="B23" t="s">
        <v>62</v>
      </c>
      <c r="C23" s="1">
        <v>45292</v>
      </c>
      <c r="D23" t="s">
        <v>100</v>
      </c>
      <c r="E23" s="3">
        <f>IF(Attendance_Status_Updated[[#This Row],[Attendance_Status]]="Absent",1,0)</f>
        <v>0</v>
      </c>
      <c r="G23" s="9" t="s">
        <v>61</v>
      </c>
      <c r="H23">
        <v>0</v>
      </c>
      <c r="I23">
        <v>0</v>
      </c>
      <c r="J23">
        <v>0</v>
      </c>
      <c r="K23">
        <v>0</v>
      </c>
      <c r="L23">
        <v>0</v>
      </c>
      <c r="N23">
        <v>0</v>
      </c>
      <c r="O23">
        <v>1</v>
      </c>
      <c r="P23" t="str">
        <f t="shared" si="0"/>
        <v>YES</v>
      </c>
    </row>
    <row r="24" spans="1:16" x14ac:dyDescent="0.25">
      <c r="A24" t="s">
        <v>122</v>
      </c>
      <c r="B24" t="s">
        <v>63</v>
      </c>
      <c r="C24" s="1">
        <v>45292</v>
      </c>
      <c r="D24" t="s">
        <v>100</v>
      </c>
      <c r="E24" s="3">
        <f>IF(Attendance_Status_Updated[[#This Row],[Attendance_Status]]="Absent",1,0)</f>
        <v>0</v>
      </c>
      <c r="G24" s="9" t="s">
        <v>62</v>
      </c>
      <c r="H24">
        <v>0</v>
      </c>
      <c r="I24">
        <v>0</v>
      </c>
      <c r="J24">
        <v>0</v>
      </c>
      <c r="K24">
        <v>0</v>
      </c>
      <c r="L24">
        <v>0</v>
      </c>
      <c r="N24">
        <v>0</v>
      </c>
      <c r="O24">
        <v>1</v>
      </c>
      <c r="P24" t="str">
        <f t="shared" si="0"/>
        <v>YES</v>
      </c>
    </row>
    <row r="25" spans="1:16" x14ac:dyDescent="0.25">
      <c r="A25" t="s">
        <v>123</v>
      </c>
      <c r="B25" t="s">
        <v>64</v>
      </c>
      <c r="C25" s="1">
        <v>45292</v>
      </c>
      <c r="D25" t="s">
        <v>100</v>
      </c>
      <c r="E25" s="3">
        <f>IF(Attendance_Status_Updated[[#This Row],[Attendance_Status]]="Absent",1,0)</f>
        <v>0</v>
      </c>
      <c r="G25" s="9" t="s">
        <v>63</v>
      </c>
      <c r="H25">
        <v>0</v>
      </c>
      <c r="I25">
        <v>0</v>
      </c>
      <c r="J25">
        <v>0</v>
      </c>
      <c r="K25">
        <v>0</v>
      </c>
      <c r="L25">
        <v>0</v>
      </c>
      <c r="N25">
        <v>0</v>
      </c>
      <c r="O25">
        <v>1</v>
      </c>
      <c r="P25" t="str">
        <f t="shared" si="0"/>
        <v>YES</v>
      </c>
    </row>
    <row r="26" spans="1:16" x14ac:dyDescent="0.25">
      <c r="A26" t="s">
        <v>124</v>
      </c>
      <c r="B26" t="s">
        <v>65</v>
      </c>
      <c r="C26" s="1">
        <v>45292</v>
      </c>
      <c r="D26" t="s">
        <v>100</v>
      </c>
      <c r="E26" s="3">
        <f>IF(Attendance_Status_Updated[[#This Row],[Attendance_Status]]="Absent",1,0)</f>
        <v>0</v>
      </c>
      <c r="G26" s="9" t="s">
        <v>64</v>
      </c>
      <c r="H26">
        <v>0</v>
      </c>
      <c r="I26">
        <v>0</v>
      </c>
      <c r="J26">
        <v>0</v>
      </c>
      <c r="K26">
        <v>0</v>
      </c>
      <c r="L26">
        <v>0</v>
      </c>
      <c r="N26">
        <v>0</v>
      </c>
      <c r="O26">
        <v>0</v>
      </c>
      <c r="P26" t="str">
        <f t="shared" si="0"/>
        <v>NO</v>
      </c>
    </row>
    <row r="27" spans="1:16" x14ac:dyDescent="0.25">
      <c r="A27" t="s">
        <v>125</v>
      </c>
      <c r="B27" t="s">
        <v>66</v>
      </c>
      <c r="C27" s="1">
        <v>45292</v>
      </c>
      <c r="D27" t="s">
        <v>100</v>
      </c>
      <c r="E27" s="3">
        <f>IF(Attendance_Status_Updated[[#This Row],[Attendance_Status]]="Absent",1,0)</f>
        <v>0</v>
      </c>
      <c r="G27" s="9" t="s">
        <v>65</v>
      </c>
      <c r="H27">
        <v>0</v>
      </c>
      <c r="I27">
        <v>0</v>
      </c>
      <c r="J27">
        <v>0</v>
      </c>
      <c r="K27">
        <v>0</v>
      </c>
      <c r="L27">
        <v>0</v>
      </c>
      <c r="N27">
        <v>0</v>
      </c>
      <c r="O27">
        <v>0</v>
      </c>
      <c r="P27" t="str">
        <f t="shared" si="0"/>
        <v>NO</v>
      </c>
    </row>
    <row r="28" spans="1:16" x14ac:dyDescent="0.25">
      <c r="A28" t="s">
        <v>126</v>
      </c>
      <c r="B28" t="s">
        <v>67</v>
      </c>
      <c r="C28" s="1">
        <v>45292</v>
      </c>
      <c r="D28" t="s">
        <v>100</v>
      </c>
      <c r="E28" s="3">
        <f>IF(Attendance_Status_Updated[[#This Row],[Attendance_Status]]="Absent",1,0)</f>
        <v>0</v>
      </c>
      <c r="G28" s="9" t="s">
        <v>66</v>
      </c>
      <c r="H28">
        <v>0</v>
      </c>
      <c r="I28">
        <v>0</v>
      </c>
      <c r="J28">
        <v>1</v>
      </c>
      <c r="K28">
        <v>0</v>
      </c>
      <c r="L28">
        <v>0</v>
      </c>
      <c r="N28">
        <v>1</v>
      </c>
      <c r="O28">
        <v>1</v>
      </c>
      <c r="P28" t="str">
        <f t="shared" si="0"/>
        <v>YES</v>
      </c>
    </row>
    <row r="29" spans="1:16" x14ac:dyDescent="0.25">
      <c r="A29" t="s">
        <v>127</v>
      </c>
      <c r="B29" t="s">
        <v>68</v>
      </c>
      <c r="C29" s="1">
        <v>45292</v>
      </c>
      <c r="D29" t="s">
        <v>100</v>
      </c>
      <c r="E29" s="3">
        <f>IF(Attendance_Status_Updated[[#This Row],[Attendance_Status]]="Absent",1,0)</f>
        <v>0</v>
      </c>
      <c r="G29" s="9" t="s">
        <v>67</v>
      </c>
      <c r="H29">
        <v>0</v>
      </c>
      <c r="I29">
        <v>0</v>
      </c>
      <c r="J29">
        <v>0</v>
      </c>
      <c r="K29">
        <v>0</v>
      </c>
      <c r="L29">
        <v>0</v>
      </c>
      <c r="N29">
        <v>0</v>
      </c>
      <c r="O29">
        <v>0</v>
      </c>
      <c r="P29" t="str">
        <f t="shared" si="0"/>
        <v>NO</v>
      </c>
    </row>
    <row r="30" spans="1:16" x14ac:dyDescent="0.25">
      <c r="A30" t="s">
        <v>128</v>
      </c>
      <c r="B30" t="s">
        <v>69</v>
      </c>
      <c r="C30" s="1">
        <v>45292</v>
      </c>
      <c r="D30" t="s">
        <v>100</v>
      </c>
      <c r="E30" s="3">
        <f>IF(Attendance_Status_Updated[[#This Row],[Attendance_Status]]="Absent",1,0)</f>
        <v>0</v>
      </c>
      <c r="G30" s="9" t="s">
        <v>68</v>
      </c>
      <c r="H30">
        <v>0</v>
      </c>
      <c r="I30">
        <v>0</v>
      </c>
      <c r="J30">
        <v>0</v>
      </c>
      <c r="K30">
        <v>0</v>
      </c>
      <c r="L30">
        <v>0</v>
      </c>
      <c r="N30">
        <v>0</v>
      </c>
      <c r="O30">
        <v>0</v>
      </c>
      <c r="P30" t="str">
        <f t="shared" si="0"/>
        <v>NO</v>
      </c>
    </row>
    <row r="31" spans="1:16" x14ac:dyDescent="0.25">
      <c r="A31" t="s">
        <v>129</v>
      </c>
      <c r="B31" t="s">
        <v>70</v>
      </c>
      <c r="C31" s="1">
        <v>45292</v>
      </c>
      <c r="D31" t="s">
        <v>100</v>
      </c>
      <c r="E31" s="3">
        <f>IF(Attendance_Status_Updated[[#This Row],[Attendance_Status]]="Absent",1,0)</f>
        <v>0</v>
      </c>
      <c r="G31" s="9" t="s">
        <v>69</v>
      </c>
      <c r="H31">
        <v>0</v>
      </c>
      <c r="I31">
        <v>0</v>
      </c>
      <c r="J31">
        <v>0</v>
      </c>
      <c r="K31">
        <v>0</v>
      </c>
      <c r="L31">
        <v>0</v>
      </c>
      <c r="N31">
        <v>0</v>
      </c>
      <c r="O31">
        <v>1</v>
      </c>
      <c r="P31" t="str">
        <f t="shared" si="0"/>
        <v>YES</v>
      </c>
    </row>
    <row r="32" spans="1:16" x14ac:dyDescent="0.25">
      <c r="A32" t="s">
        <v>130</v>
      </c>
      <c r="B32" t="s">
        <v>71</v>
      </c>
      <c r="C32" s="1">
        <v>45292</v>
      </c>
      <c r="D32" t="s">
        <v>100</v>
      </c>
      <c r="E32" s="3">
        <f>IF(Attendance_Status_Updated[[#This Row],[Attendance_Status]]="Absent",1,0)</f>
        <v>0</v>
      </c>
      <c r="G32" s="9" t="s">
        <v>70</v>
      </c>
      <c r="H32">
        <v>0</v>
      </c>
      <c r="I32">
        <v>0</v>
      </c>
      <c r="J32">
        <v>0</v>
      </c>
      <c r="K32">
        <v>0</v>
      </c>
      <c r="L32">
        <v>0</v>
      </c>
      <c r="N32">
        <v>0</v>
      </c>
      <c r="O32">
        <v>0</v>
      </c>
      <c r="P32" t="str">
        <f t="shared" si="0"/>
        <v>NO</v>
      </c>
    </row>
    <row r="33" spans="1:16" x14ac:dyDescent="0.25">
      <c r="A33" t="s">
        <v>131</v>
      </c>
      <c r="B33" t="s">
        <v>72</v>
      </c>
      <c r="C33" s="1">
        <v>45292</v>
      </c>
      <c r="D33" t="s">
        <v>100</v>
      </c>
      <c r="E33" s="3">
        <f>IF(Attendance_Status_Updated[[#This Row],[Attendance_Status]]="Absent",1,0)</f>
        <v>0</v>
      </c>
      <c r="G33" s="9" t="s">
        <v>71</v>
      </c>
      <c r="H33">
        <v>0</v>
      </c>
      <c r="I33">
        <v>0</v>
      </c>
      <c r="J33">
        <v>0</v>
      </c>
      <c r="K33">
        <v>0</v>
      </c>
      <c r="L33">
        <v>0</v>
      </c>
      <c r="N33">
        <v>0</v>
      </c>
      <c r="O33">
        <v>1</v>
      </c>
      <c r="P33" t="str">
        <f t="shared" si="0"/>
        <v>YES</v>
      </c>
    </row>
    <row r="34" spans="1:16" x14ac:dyDescent="0.25">
      <c r="A34" t="s">
        <v>132</v>
      </c>
      <c r="B34" t="s">
        <v>73</v>
      </c>
      <c r="C34" s="1">
        <v>45292</v>
      </c>
      <c r="D34" t="s">
        <v>100</v>
      </c>
      <c r="E34" s="3">
        <f>IF(Attendance_Status_Updated[[#This Row],[Attendance_Status]]="Absent",1,0)</f>
        <v>0</v>
      </c>
      <c r="G34" s="9" t="s">
        <v>72</v>
      </c>
      <c r="H34">
        <v>0</v>
      </c>
      <c r="I34">
        <v>0</v>
      </c>
      <c r="J34">
        <v>0</v>
      </c>
      <c r="K34">
        <v>0</v>
      </c>
      <c r="L34">
        <v>0</v>
      </c>
      <c r="N34">
        <v>0</v>
      </c>
      <c r="O34">
        <v>0</v>
      </c>
      <c r="P34" t="str">
        <f t="shared" si="0"/>
        <v>NO</v>
      </c>
    </row>
    <row r="35" spans="1:16" x14ac:dyDescent="0.25">
      <c r="A35" t="s">
        <v>133</v>
      </c>
      <c r="B35" t="s">
        <v>75</v>
      </c>
      <c r="C35" s="1">
        <v>45292</v>
      </c>
      <c r="D35" t="s">
        <v>100</v>
      </c>
      <c r="E35" s="3">
        <f>IF(Attendance_Status_Updated[[#This Row],[Attendance_Status]]="Absent",1,0)</f>
        <v>0</v>
      </c>
      <c r="G35" s="9" t="s">
        <v>73</v>
      </c>
      <c r="H35">
        <v>0</v>
      </c>
      <c r="I35">
        <v>1</v>
      </c>
      <c r="J35">
        <v>1</v>
      </c>
      <c r="K35">
        <v>0</v>
      </c>
      <c r="L35">
        <v>0</v>
      </c>
      <c r="N35">
        <v>2</v>
      </c>
      <c r="O35">
        <v>3</v>
      </c>
      <c r="P35" t="str">
        <f t="shared" si="0"/>
        <v>YES</v>
      </c>
    </row>
    <row r="36" spans="1:16" x14ac:dyDescent="0.25">
      <c r="A36" t="s">
        <v>134</v>
      </c>
      <c r="B36" t="s">
        <v>76</v>
      </c>
      <c r="C36" s="1">
        <v>45292</v>
      </c>
      <c r="D36" t="s">
        <v>100</v>
      </c>
      <c r="E36" s="3">
        <f>IF(Attendance_Status_Updated[[#This Row],[Attendance_Status]]="Absent",1,0)</f>
        <v>0</v>
      </c>
      <c r="G36" s="9" t="s">
        <v>75</v>
      </c>
      <c r="H36">
        <v>0</v>
      </c>
      <c r="I36">
        <v>0</v>
      </c>
      <c r="J36">
        <v>0</v>
      </c>
      <c r="K36">
        <v>0</v>
      </c>
      <c r="L36">
        <v>0</v>
      </c>
      <c r="N36">
        <v>0</v>
      </c>
      <c r="O36">
        <v>0</v>
      </c>
      <c r="P36" t="str">
        <f t="shared" si="0"/>
        <v>NO</v>
      </c>
    </row>
    <row r="37" spans="1:16" x14ac:dyDescent="0.25">
      <c r="A37" t="s">
        <v>135</v>
      </c>
      <c r="B37" t="s">
        <v>77</v>
      </c>
      <c r="C37" s="1">
        <v>45292</v>
      </c>
      <c r="D37" t="s">
        <v>100</v>
      </c>
      <c r="E37" s="3">
        <f>IF(Attendance_Status_Updated[[#This Row],[Attendance_Status]]="Absent",1,0)</f>
        <v>0</v>
      </c>
      <c r="G37" s="9" t="s">
        <v>76</v>
      </c>
      <c r="H37">
        <v>0</v>
      </c>
      <c r="I37">
        <v>0</v>
      </c>
      <c r="J37">
        <v>1</v>
      </c>
      <c r="K37">
        <v>0</v>
      </c>
      <c r="L37">
        <v>0</v>
      </c>
      <c r="N37">
        <v>1</v>
      </c>
      <c r="O37">
        <v>1</v>
      </c>
      <c r="P37" t="str">
        <f t="shared" si="0"/>
        <v>YES</v>
      </c>
    </row>
    <row r="38" spans="1:16" x14ac:dyDescent="0.25">
      <c r="A38" t="s">
        <v>136</v>
      </c>
      <c r="B38" t="s">
        <v>78</v>
      </c>
      <c r="C38" s="1">
        <v>45292</v>
      </c>
      <c r="D38" t="s">
        <v>100</v>
      </c>
      <c r="E38" s="3">
        <f>IF(Attendance_Status_Updated[[#This Row],[Attendance_Status]]="Absent",1,0)</f>
        <v>0</v>
      </c>
      <c r="G38" s="9" t="s">
        <v>77</v>
      </c>
      <c r="H38">
        <v>0</v>
      </c>
      <c r="I38">
        <v>0</v>
      </c>
      <c r="J38">
        <v>0</v>
      </c>
      <c r="K38">
        <v>0</v>
      </c>
      <c r="L38">
        <v>0</v>
      </c>
      <c r="N38">
        <v>0</v>
      </c>
      <c r="O38">
        <v>2</v>
      </c>
      <c r="P38" t="str">
        <f t="shared" si="0"/>
        <v>YES</v>
      </c>
    </row>
    <row r="39" spans="1:16" x14ac:dyDescent="0.25">
      <c r="A39" t="s">
        <v>137</v>
      </c>
      <c r="B39" t="s">
        <v>79</v>
      </c>
      <c r="C39" s="1">
        <v>45292</v>
      </c>
      <c r="D39" t="s">
        <v>100</v>
      </c>
      <c r="E39" s="3">
        <f>IF(Attendance_Status_Updated[[#This Row],[Attendance_Status]]="Absent",1,0)</f>
        <v>0</v>
      </c>
      <c r="G39" s="9" t="s">
        <v>78</v>
      </c>
      <c r="H39">
        <v>0</v>
      </c>
      <c r="I39">
        <v>0</v>
      </c>
      <c r="J39">
        <v>0</v>
      </c>
      <c r="K39">
        <v>0</v>
      </c>
      <c r="L39">
        <v>0</v>
      </c>
      <c r="N39">
        <v>0</v>
      </c>
      <c r="O39">
        <v>0</v>
      </c>
      <c r="P39" t="str">
        <f t="shared" si="0"/>
        <v>NO</v>
      </c>
    </row>
    <row r="40" spans="1:16" x14ac:dyDescent="0.25">
      <c r="A40" t="s">
        <v>138</v>
      </c>
      <c r="B40" t="s">
        <v>80</v>
      </c>
      <c r="C40" s="1">
        <v>45292</v>
      </c>
      <c r="D40" t="s">
        <v>100</v>
      </c>
      <c r="E40" s="3">
        <f>IF(Attendance_Status_Updated[[#This Row],[Attendance_Status]]="Absent",1,0)</f>
        <v>0</v>
      </c>
      <c r="G40" s="9" t="s">
        <v>79</v>
      </c>
      <c r="H40">
        <v>0</v>
      </c>
      <c r="I40">
        <v>0</v>
      </c>
      <c r="J40">
        <v>0</v>
      </c>
      <c r="K40">
        <v>0</v>
      </c>
      <c r="L40">
        <v>0</v>
      </c>
      <c r="N40">
        <v>0</v>
      </c>
      <c r="O40">
        <v>0</v>
      </c>
      <c r="P40" t="str">
        <f t="shared" si="0"/>
        <v>NO</v>
      </c>
    </row>
    <row r="41" spans="1:16" x14ac:dyDescent="0.25">
      <c r="A41" t="s">
        <v>139</v>
      </c>
      <c r="B41" t="s">
        <v>81</v>
      </c>
      <c r="C41" s="1">
        <v>45292</v>
      </c>
      <c r="D41" t="s">
        <v>100</v>
      </c>
      <c r="E41" s="3">
        <f>IF(Attendance_Status_Updated[[#This Row],[Attendance_Status]]="Absent",1,0)</f>
        <v>0</v>
      </c>
      <c r="G41" s="9" t="s">
        <v>80</v>
      </c>
      <c r="H41">
        <v>0</v>
      </c>
      <c r="I41">
        <v>0</v>
      </c>
      <c r="J41">
        <v>0</v>
      </c>
      <c r="K41">
        <v>0</v>
      </c>
      <c r="L41">
        <v>0</v>
      </c>
      <c r="N41">
        <v>0</v>
      </c>
      <c r="O41">
        <v>0</v>
      </c>
      <c r="P41" t="str">
        <f t="shared" si="0"/>
        <v>NO</v>
      </c>
    </row>
    <row r="42" spans="1:16" x14ac:dyDescent="0.25">
      <c r="A42" t="s">
        <v>140</v>
      </c>
      <c r="B42" t="s">
        <v>11</v>
      </c>
      <c r="C42" s="1">
        <v>45293</v>
      </c>
      <c r="D42" t="s">
        <v>100</v>
      </c>
      <c r="E42" s="3">
        <f>IF(Attendance_Status_Updated[[#This Row],[Attendance_Status]]="Absent",1,0)</f>
        <v>0</v>
      </c>
      <c r="G42" s="9" t="s">
        <v>81</v>
      </c>
      <c r="H42">
        <v>0</v>
      </c>
      <c r="I42">
        <v>0</v>
      </c>
      <c r="J42">
        <v>0</v>
      </c>
      <c r="K42">
        <v>0</v>
      </c>
      <c r="L42">
        <v>0</v>
      </c>
      <c r="N42">
        <v>0</v>
      </c>
      <c r="O42">
        <v>0</v>
      </c>
      <c r="P42" t="str">
        <f t="shared" si="0"/>
        <v>NO</v>
      </c>
    </row>
    <row r="43" spans="1:16" x14ac:dyDescent="0.25">
      <c r="A43" t="s">
        <v>141</v>
      </c>
      <c r="B43" t="s">
        <v>19</v>
      </c>
      <c r="C43" s="1">
        <v>45293</v>
      </c>
      <c r="D43" t="s">
        <v>100</v>
      </c>
      <c r="E43" s="3">
        <f>IF(Attendance_Status_Updated[[#This Row],[Attendance_Status]]="Absent",1,0)</f>
        <v>0</v>
      </c>
      <c r="G43" s="9" t="s">
        <v>524</v>
      </c>
    </row>
    <row r="44" spans="1:16" x14ac:dyDescent="0.25">
      <c r="A44" t="s">
        <v>142</v>
      </c>
      <c r="B44" t="s">
        <v>24</v>
      </c>
      <c r="C44" s="1">
        <v>45293</v>
      </c>
      <c r="D44" t="s">
        <v>143</v>
      </c>
      <c r="E44" s="3">
        <f>IF(Attendance_Status_Updated[[#This Row],[Attendance_Status]]="Absent",1,0)</f>
        <v>0</v>
      </c>
      <c r="G44" s="9" t="s">
        <v>456</v>
      </c>
      <c r="H44">
        <v>0</v>
      </c>
      <c r="I44">
        <v>2</v>
      </c>
      <c r="J44">
        <v>3</v>
      </c>
      <c r="K44">
        <v>3</v>
      </c>
      <c r="L44">
        <v>2</v>
      </c>
      <c r="N44">
        <v>10</v>
      </c>
    </row>
    <row r="45" spans="1:16" x14ac:dyDescent="0.25">
      <c r="A45" t="s">
        <v>144</v>
      </c>
      <c r="B45" t="s">
        <v>28</v>
      </c>
      <c r="C45" s="1">
        <v>45293</v>
      </c>
      <c r="D45" t="s">
        <v>100</v>
      </c>
      <c r="E45" s="3">
        <f>IF(Attendance_Status_Updated[[#This Row],[Attendance_Status]]="Absent",1,0)</f>
        <v>0</v>
      </c>
    </row>
    <row r="46" spans="1:16" x14ac:dyDescent="0.25">
      <c r="A46" t="s">
        <v>145</v>
      </c>
      <c r="B46" t="s">
        <v>30</v>
      </c>
      <c r="C46" s="1">
        <v>45293</v>
      </c>
      <c r="D46" t="s">
        <v>100</v>
      </c>
      <c r="E46" s="3">
        <f>IF(Attendance_Status_Updated[[#This Row],[Attendance_Status]]="Absent",1,0)</f>
        <v>0</v>
      </c>
    </row>
    <row r="47" spans="1:16" x14ac:dyDescent="0.25">
      <c r="A47" t="s">
        <v>146</v>
      </c>
      <c r="B47" t="s">
        <v>33</v>
      </c>
      <c r="C47" s="1">
        <v>45293</v>
      </c>
      <c r="D47" t="s">
        <v>100</v>
      </c>
      <c r="E47" s="3">
        <f>IF(Attendance_Status_Updated[[#This Row],[Attendance_Status]]="Absent",1,0)</f>
        <v>0</v>
      </c>
    </row>
    <row r="48" spans="1:16" x14ac:dyDescent="0.25">
      <c r="A48" t="s">
        <v>147</v>
      </c>
      <c r="B48" t="s">
        <v>37</v>
      </c>
      <c r="C48" s="1">
        <v>45293</v>
      </c>
      <c r="D48" t="s">
        <v>100</v>
      </c>
      <c r="E48" s="3">
        <f>IF(Attendance_Status_Updated[[#This Row],[Attendance_Status]]="Absent",1,0)</f>
        <v>0</v>
      </c>
    </row>
    <row r="49" spans="1:5" x14ac:dyDescent="0.25">
      <c r="A49" t="s">
        <v>148</v>
      </c>
      <c r="B49" t="s">
        <v>39</v>
      </c>
      <c r="C49" s="1">
        <v>45293</v>
      </c>
      <c r="D49" t="s">
        <v>100</v>
      </c>
      <c r="E49" s="3">
        <f>IF(Attendance_Status_Updated[[#This Row],[Attendance_Status]]="Absent",1,0)</f>
        <v>0</v>
      </c>
    </row>
    <row r="50" spans="1:5" x14ac:dyDescent="0.25">
      <c r="A50" t="s">
        <v>149</v>
      </c>
      <c r="B50" t="s">
        <v>42</v>
      </c>
      <c r="C50" s="1">
        <v>45293</v>
      </c>
      <c r="D50" t="s">
        <v>100</v>
      </c>
      <c r="E50" s="3">
        <f>IF(Attendance_Status_Updated[[#This Row],[Attendance_Status]]="Absent",1,0)</f>
        <v>0</v>
      </c>
    </row>
    <row r="51" spans="1:5" x14ac:dyDescent="0.25">
      <c r="A51" t="s">
        <v>150</v>
      </c>
      <c r="B51" t="s">
        <v>45</v>
      </c>
      <c r="C51" s="1">
        <v>45293</v>
      </c>
      <c r="D51" t="s">
        <v>100</v>
      </c>
      <c r="E51" s="3">
        <f>IF(Attendance_Status_Updated[[#This Row],[Attendance_Status]]="Absent",1,0)</f>
        <v>0</v>
      </c>
    </row>
    <row r="52" spans="1:5" x14ac:dyDescent="0.25">
      <c r="A52" t="s">
        <v>151</v>
      </c>
      <c r="B52" t="s">
        <v>47</v>
      </c>
      <c r="C52" s="1">
        <v>45293</v>
      </c>
      <c r="D52" t="s">
        <v>100</v>
      </c>
      <c r="E52" s="3">
        <f>IF(Attendance_Status_Updated[[#This Row],[Attendance_Status]]="Absent",1,0)</f>
        <v>0</v>
      </c>
    </row>
    <row r="53" spans="1:5" x14ac:dyDescent="0.25">
      <c r="A53" t="s">
        <v>152</v>
      </c>
      <c r="B53" t="s">
        <v>48</v>
      </c>
      <c r="C53" s="1">
        <v>45293</v>
      </c>
      <c r="D53" t="s">
        <v>100</v>
      </c>
      <c r="E53" s="3">
        <f>IF(Attendance_Status_Updated[[#This Row],[Attendance_Status]]="Absent",1,0)</f>
        <v>0</v>
      </c>
    </row>
    <row r="54" spans="1:5" x14ac:dyDescent="0.25">
      <c r="A54" t="s">
        <v>153</v>
      </c>
      <c r="B54" t="s">
        <v>50</v>
      </c>
      <c r="C54" s="1">
        <v>45293</v>
      </c>
      <c r="D54" t="s">
        <v>100</v>
      </c>
      <c r="E54" s="3">
        <f>IF(Attendance_Status_Updated[[#This Row],[Attendance_Status]]="Absent",1,0)</f>
        <v>0</v>
      </c>
    </row>
    <row r="55" spans="1:5" x14ac:dyDescent="0.25">
      <c r="A55" t="s">
        <v>154</v>
      </c>
      <c r="B55" t="s">
        <v>51</v>
      </c>
      <c r="C55" s="1">
        <v>45293</v>
      </c>
      <c r="D55" t="s">
        <v>100</v>
      </c>
      <c r="E55" s="3">
        <f>IF(Attendance_Status_Updated[[#This Row],[Attendance_Status]]="Absent",1,0)</f>
        <v>0</v>
      </c>
    </row>
    <row r="56" spans="1:5" x14ac:dyDescent="0.25">
      <c r="A56" t="s">
        <v>155</v>
      </c>
      <c r="B56" t="s">
        <v>53</v>
      </c>
      <c r="C56" s="1">
        <v>45293</v>
      </c>
      <c r="D56" t="s">
        <v>100</v>
      </c>
      <c r="E56" s="3">
        <f>IF(Attendance_Status_Updated[[#This Row],[Attendance_Status]]="Absent",1,0)</f>
        <v>0</v>
      </c>
    </row>
    <row r="57" spans="1:5" x14ac:dyDescent="0.25">
      <c r="A57" t="s">
        <v>156</v>
      </c>
      <c r="B57" t="s">
        <v>54</v>
      </c>
      <c r="C57" s="1">
        <v>45293</v>
      </c>
      <c r="D57" t="s">
        <v>100</v>
      </c>
      <c r="E57" s="3">
        <f>IF(Attendance_Status_Updated[[#This Row],[Attendance_Status]]="Absent",1,0)</f>
        <v>0</v>
      </c>
    </row>
    <row r="58" spans="1:5" x14ac:dyDescent="0.25">
      <c r="A58" t="s">
        <v>157</v>
      </c>
      <c r="B58" t="s">
        <v>55</v>
      </c>
      <c r="C58" s="1">
        <v>45293</v>
      </c>
      <c r="D58" t="s">
        <v>100</v>
      </c>
      <c r="E58" s="3">
        <f>IF(Attendance_Status_Updated[[#This Row],[Attendance_Status]]="Absent",1,0)</f>
        <v>0</v>
      </c>
    </row>
    <row r="59" spans="1:5" x14ac:dyDescent="0.25">
      <c r="A59" t="s">
        <v>158</v>
      </c>
      <c r="B59" t="s">
        <v>58</v>
      </c>
      <c r="C59" s="1">
        <v>45293</v>
      </c>
      <c r="D59" t="s">
        <v>100</v>
      </c>
      <c r="E59" s="3">
        <f>IF(Attendance_Status_Updated[[#This Row],[Attendance_Status]]="Absent",1,0)</f>
        <v>0</v>
      </c>
    </row>
    <row r="60" spans="1:5" x14ac:dyDescent="0.25">
      <c r="A60" t="s">
        <v>159</v>
      </c>
      <c r="B60" t="s">
        <v>59</v>
      </c>
      <c r="C60" s="1">
        <v>45293</v>
      </c>
      <c r="D60" t="s">
        <v>160</v>
      </c>
      <c r="E60" s="3">
        <f>IF(Attendance_Status_Updated[[#This Row],[Attendance_Status]]="Absent",1,0)</f>
        <v>1</v>
      </c>
    </row>
    <row r="61" spans="1:5" x14ac:dyDescent="0.25">
      <c r="A61" t="s">
        <v>161</v>
      </c>
      <c r="B61" t="s">
        <v>60</v>
      </c>
      <c r="C61" s="1">
        <v>45293</v>
      </c>
      <c r="D61" t="s">
        <v>100</v>
      </c>
      <c r="E61" s="3">
        <f>IF(Attendance_Status_Updated[[#This Row],[Attendance_Status]]="Absent",1,0)</f>
        <v>0</v>
      </c>
    </row>
    <row r="62" spans="1:5" x14ac:dyDescent="0.25">
      <c r="A62" t="s">
        <v>162</v>
      </c>
      <c r="B62" t="s">
        <v>61</v>
      </c>
      <c r="C62" s="1">
        <v>45293</v>
      </c>
      <c r="D62" t="s">
        <v>100</v>
      </c>
      <c r="E62" s="3">
        <f>IF(Attendance_Status_Updated[[#This Row],[Attendance_Status]]="Absent",1,0)</f>
        <v>0</v>
      </c>
    </row>
    <row r="63" spans="1:5" x14ac:dyDescent="0.25">
      <c r="A63" t="s">
        <v>163</v>
      </c>
      <c r="B63" t="s">
        <v>62</v>
      </c>
      <c r="C63" s="1">
        <v>45293</v>
      </c>
      <c r="D63" t="s">
        <v>100</v>
      </c>
      <c r="E63" s="3">
        <f>IF(Attendance_Status_Updated[[#This Row],[Attendance_Status]]="Absent",1,0)</f>
        <v>0</v>
      </c>
    </row>
    <row r="64" spans="1:5" x14ac:dyDescent="0.25">
      <c r="A64" t="s">
        <v>164</v>
      </c>
      <c r="B64" t="s">
        <v>63</v>
      </c>
      <c r="C64" s="1">
        <v>45293</v>
      </c>
      <c r="D64" t="s">
        <v>143</v>
      </c>
      <c r="E64" s="3">
        <f>IF(Attendance_Status_Updated[[#This Row],[Attendance_Status]]="Absent",1,0)</f>
        <v>0</v>
      </c>
    </row>
    <row r="65" spans="1:5" x14ac:dyDescent="0.25">
      <c r="A65" t="s">
        <v>165</v>
      </c>
      <c r="B65" t="s">
        <v>64</v>
      </c>
      <c r="C65" s="1">
        <v>45293</v>
      </c>
      <c r="D65" t="s">
        <v>100</v>
      </c>
      <c r="E65" s="3">
        <f>IF(Attendance_Status_Updated[[#This Row],[Attendance_Status]]="Absent",1,0)</f>
        <v>0</v>
      </c>
    </row>
    <row r="66" spans="1:5" x14ac:dyDescent="0.25">
      <c r="A66" t="s">
        <v>166</v>
      </c>
      <c r="B66" t="s">
        <v>65</v>
      </c>
      <c r="C66" s="1">
        <v>45293</v>
      </c>
      <c r="D66" t="s">
        <v>100</v>
      </c>
      <c r="E66" s="3">
        <f>IF(Attendance_Status_Updated[[#This Row],[Attendance_Status]]="Absent",1,0)</f>
        <v>0</v>
      </c>
    </row>
    <row r="67" spans="1:5" x14ac:dyDescent="0.25">
      <c r="A67" t="s">
        <v>167</v>
      </c>
      <c r="B67" t="s">
        <v>66</v>
      </c>
      <c r="C67" s="1">
        <v>45293</v>
      </c>
      <c r="D67" t="s">
        <v>100</v>
      </c>
      <c r="E67" s="3">
        <f>IF(Attendance_Status_Updated[[#This Row],[Attendance_Status]]="Absent",1,0)</f>
        <v>0</v>
      </c>
    </row>
    <row r="68" spans="1:5" x14ac:dyDescent="0.25">
      <c r="A68" t="s">
        <v>168</v>
      </c>
      <c r="B68" t="s">
        <v>67</v>
      </c>
      <c r="C68" s="1">
        <v>45293</v>
      </c>
      <c r="D68" t="s">
        <v>100</v>
      </c>
      <c r="E68" s="3">
        <f>IF(Attendance_Status_Updated[[#This Row],[Attendance_Status]]="Absent",1,0)</f>
        <v>0</v>
      </c>
    </row>
    <row r="69" spans="1:5" x14ac:dyDescent="0.25">
      <c r="A69" t="s">
        <v>169</v>
      </c>
      <c r="B69" t="s">
        <v>68</v>
      </c>
      <c r="C69" s="1">
        <v>45293</v>
      </c>
      <c r="D69" t="s">
        <v>100</v>
      </c>
      <c r="E69" s="3">
        <f>IF(Attendance_Status_Updated[[#This Row],[Attendance_Status]]="Absent",1,0)</f>
        <v>0</v>
      </c>
    </row>
    <row r="70" spans="1:5" x14ac:dyDescent="0.25">
      <c r="A70" t="s">
        <v>170</v>
      </c>
      <c r="B70" t="s">
        <v>69</v>
      </c>
      <c r="C70" s="1">
        <v>45293</v>
      </c>
      <c r="D70" t="s">
        <v>100</v>
      </c>
      <c r="E70" s="3">
        <f>IF(Attendance_Status_Updated[[#This Row],[Attendance_Status]]="Absent",1,0)</f>
        <v>0</v>
      </c>
    </row>
    <row r="71" spans="1:5" x14ac:dyDescent="0.25">
      <c r="A71" t="s">
        <v>171</v>
      </c>
      <c r="B71" t="s">
        <v>70</v>
      </c>
      <c r="C71" s="1">
        <v>45293</v>
      </c>
      <c r="D71" t="s">
        <v>100</v>
      </c>
      <c r="E71" s="3">
        <f>IF(Attendance_Status_Updated[[#This Row],[Attendance_Status]]="Absent",1,0)</f>
        <v>0</v>
      </c>
    </row>
    <row r="72" spans="1:5" x14ac:dyDescent="0.25">
      <c r="A72" t="s">
        <v>172</v>
      </c>
      <c r="B72" t="s">
        <v>71</v>
      </c>
      <c r="C72" s="1">
        <v>45293</v>
      </c>
      <c r="D72" t="s">
        <v>100</v>
      </c>
      <c r="E72" s="3">
        <f>IF(Attendance_Status_Updated[[#This Row],[Attendance_Status]]="Absent",1,0)</f>
        <v>0</v>
      </c>
    </row>
    <row r="73" spans="1:5" x14ac:dyDescent="0.25">
      <c r="A73" t="s">
        <v>173</v>
      </c>
      <c r="B73" t="s">
        <v>72</v>
      </c>
      <c r="C73" s="1">
        <v>45293</v>
      </c>
      <c r="D73" t="s">
        <v>100</v>
      </c>
      <c r="E73" s="3">
        <f>IF(Attendance_Status_Updated[[#This Row],[Attendance_Status]]="Absent",1,0)</f>
        <v>0</v>
      </c>
    </row>
    <row r="74" spans="1:5" x14ac:dyDescent="0.25">
      <c r="A74" t="s">
        <v>174</v>
      </c>
      <c r="B74" t="s">
        <v>73</v>
      </c>
      <c r="C74" s="1">
        <v>45293</v>
      </c>
      <c r="D74" t="s">
        <v>160</v>
      </c>
      <c r="E74" s="3">
        <f>IF(Attendance_Status_Updated[[#This Row],[Attendance_Status]]="Absent",1,0)</f>
        <v>1</v>
      </c>
    </row>
    <row r="75" spans="1:5" x14ac:dyDescent="0.25">
      <c r="A75" t="s">
        <v>175</v>
      </c>
      <c r="B75" t="s">
        <v>75</v>
      </c>
      <c r="C75" s="1">
        <v>45293</v>
      </c>
      <c r="D75" t="s">
        <v>100</v>
      </c>
      <c r="E75" s="3">
        <f>IF(Attendance_Status_Updated[[#This Row],[Attendance_Status]]="Absent",1,0)</f>
        <v>0</v>
      </c>
    </row>
    <row r="76" spans="1:5" x14ac:dyDescent="0.25">
      <c r="A76" t="s">
        <v>176</v>
      </c>
      <c r="B76" t="s">
        <v>76</v>
      </c>
      <c r="C76" s="1">
        <v>45293</v>
      </c>
      <c r="D76" t="s">
        <v>100</v>
      </c>
      <c r="E76" s="3">
        <f>IF(Attendance_Status_Updated[[#This Row],[Attendance_Status]]="Absent",1,0)</f>
        <v>0</v>
      </c>
    </row>
    <row r="77" spans="1:5" x14ac:dyDescent="0.25">
      <c r="A77" t="s">
        <v>177</v>
      </c>
      <c r="B77" t="s">
        <v>77</v>
      </c>
      <c r="C77" s="1">
        <v>45293</v>
      </c>
      <c r="D77" t="s">
        <v>100</v>
      </c>
      <c r="E77" s="3">
        <f>IF(Attendance_Status_Updated[[#This Row],[Attendance_Status]]="Absent",1,0)</f>
        <v>0</v>
      </c>
    </row>
    <row r="78" spans="1:5" x14ac:dyDescent="0.25">
      <c r="A78" t="s">
        <v>178</v>
      </c>
      <c r="B78" t="s">
        <v>78</v>
      </c>
      <c r="C78" s="1">
        <v>45293</v>
      </c>
      <c r="D78" t="s">
        <v>100</v>
      </c>
      <c r="E78" s="3">
        <f>IF(Attendance_Status_Updated[[#This Row],[Attendance_Status]]="Absent",1,0)</f>
        <v>0</v>
      </c>
    </row>
    <row r="79" spans="1:5" x14ac:dyDescent="0.25">
      <c r="A79" t="s">
        <v>179</v>
      </c>
      <c r="B79" t="s">
        <v>79</v>
      </c>
      <c r="C79" s="1">
        <v>45293</v>
      </c>
      <c r="D79" t="s">
        <v>100</v>
      </c>
      <c r="E79" s="3">
        <f>IF(Attendance_Status_Updated[[#This Row],[Attendance_Status]]="Absent",1,0)</f>
        <v>0</v>
      </c>
    </row>
    <row r="80" spans="1:5" x14ac:dyDescent="0.25">
      <c r="A80" t="s">
        <v>180</v>
      </c>
      <c r="B80" t="s">
        <v>80</v>
      </c>
      <c r="C80" s="1">
        <v>45293</v>
      </c>
      <c r="D80" t="s">
        <v>100</v>
      </c>
      <c r="E80" s="3">
        <f>IF(Attendance_Status_Updated[[#This Row],[Attendance_Status]]="Absent",1,0)</f>
        <v>0</v>
      </c>
    </row>
    <row r="81" spans="1:5" x14ac:dyDescent="0.25">
      <c r="A81" t="s">
        <v>181</v>
      </c>
      <c r="B81" t="s">
        <v>81</v>
      </c>
      <c r="C81" s="1">
        <v>45293</v>
      </c>
      <c r="D81" t="s">
        <v>100</v>
      </c>
      <c r="E81" s="3">
        <f>IF(Attendance_Status_Updated[[#This Row],[Attendance_Status]]="Absent",1,0)</f>
        <v>0</v>
      </c>
    </row>
    <row r="82" spans="1:5" x14ac:dyDescent="0.25">
      <c r="A82" t="s">
        <v>182</v>
      </c>
      <c r="B82" t="s">
        <v>11</v>
      </c>
      <c r="C82" s="1">
        <v>45294</v>
      </c>
      <c r="D82" t="s">
        <v>100</v>
      </c>
      <c r="E82" s="3">
        <f>IF(Attendance_Status_Updated[[#This Row],[Attendance_Status]]="Absent",1,0)</f>
        <v>0</v>
      </c>
    </row>
    <row r="83" spans="1:5" x14ac:dyDescent="0.25">
      <c r="A83" t="s">
        <v>183</v>
      </c>
      <c r="B83" t="s">
        <v>19</v>
      </c>
      <c r="C83" s="1">
        <v>45294</v>
      </c>
      <c r="D83" t="s">
        <v>100</v>
      </c>
      <c r="E83" s="3">
        <f>IF(Attendance_Status_Updated[[#This Row],[Attendance_Status]]="Absent",1,0)</f>
        <v>0</v>
      </c>
    </row>
    <row r="84" spans="1:5" x14ac:dyDescent="0.25">
      <c r="A84" t="s">
        <v>184</v>
      </c>
      <c r="B84" t="s">
        <v>24</v>
      </c>
      <c r="C84" s="1">
        <v>45294</v>
      </c>
      <c r="D84" t="s">
        <v>100</v>
      </c>
      <c r="E84" s="3">
        <f>IF(Attendance_Status_Updated[[#This Row],[Attendance_Status]]="Absent",1,0)</f>
        <v>0</v>
      </c>
    </row>
    <row r="85" spans="1:5" x14ac:dyDescent="0.25">
      <c r="A85" t="s">
        <v>185</v>
      </c>
      <c r="B85" t="s">
        <v>28</v>
      </c>
      <c r="C85" s="1">
        <v>45294</v>
      </c>
      <c r="D85" t="s">
        <v>100</v>
      </c>
      <c r="E85" s="3">
        <f>IF(Attendance_Status_Updated[[#This Row],[Attendance_Status]]="Absent",1,0)</f>
        <v>0</v>
      </c>
    </row>
    <row r="86" spans="1:5" x14ac:dyDescent="0.25">
      <c r="A86" t="s">
        <v>186</v>
      </c>
      <c r="B86" t="s">
        <v>30</v>
      </c>
      <c r="C86" s="1">
        <v>45294</v>
      </c>
      <c r="D86" t="s">
        <v>100</v>
      </c>
      <c r="E86" s="3">
        <f>IF(Attendance_Status_Updated[[#This Row],[Attendance_Status]]="Absent",1,0)</f>
        <v>0</v>
      </c>
    </row>
    <row r="87" spans="1:5" x14ac:dyDescent="0.25">
      <c r="A87" t="s">
        <v>187</v>
      </c>
      <c r="B87" t="s">
        <v>33</v>
      </c>
      <c r="C87" s="1">
        <v>45294</v>
      </c>
      <c r="D87" t="s">
        <v>100</v>
      </c>
      <c r="E87" s="3">
        <f>IF(Attendance_Status_Updated[[#This Row],[Attendance_Status]]="Absent",1,0)</f>
        <v>0</v>
      </c>
    </row>
    <row r="88" spans="1:5" x14ac:dyDescent="0.25">
      <c r="A88" t="s">
        <v>188</v>
      </c>
      <c r="B88" t="s">
        <v>37</v>
      </c>
      <c r="C88" s="1">
        <v>45294</v>
      </c>
      <c r="D88" t="s">
        <v>100</v>
      </c>
      <c r="E88" s="3">
        <f>IF(Attendance_Status_Updated[[#This Row],[Attendance_Status]]="Absent",1,0)</f>
        <v>0</v>
      </c>
    </row>
    <row r="89" spans="1:5" x14ac:dyDescent="0.25">
      <c r="A89" t="s">
        <v>189</v>
      </c>
      <c r="B89" t="s">
        <v>39</v>
      </c>
      <c r="C89" s="1">
        <v>45294</v>
      </c>
      <c r="D89" t="s">
        <v>100</v>
      </c>
      <c r="E89" s="3">
        <f>IF(Attendance_Status_Updated[[#This Row],[Attendance_Status]]="Absent",1,0)</f>
        <v>0</v>
      </c>
    </row>
    <row r="90" spans="1:5" x14ac:dyDescent="0.25">
      <c r="A90" t="s">
        <v>190</v>
      </c>
      <c r="B90" t="s">
        <v>42</v>
      </c>
      <c r="C90" s="1">
        <v>45294</v>
      </c>
      <c r="D90" t="s">
        <v>100</v>
      </c>
      <c r="E90" s="3">
        <f>IF(Attendance_Status_Updated[[#This Row],[Attendance_Status]]="Absent",1,0)</f>
        <v>0</v>
      </c>
    </row>
    <row r="91" spans="1:5" x14ac:dyDescent="0.25">
      <c r="A91" t="s">
        <v>191</v>
      </c>
      <c r="B91" t="s">
        <v>45</v>
      </c>
      <c r="C91" s="1">
        <v>45294</v>
      </c>
      <c r="D91" t="s">
        <v>100</v>
      </c>
      <c r="E91" s="3">
        <f>IF(Attendance_Status_Updated[[#This Row],[Attendance_Status]]="Absent",1,0)</f>
        <v>0</v>
      </c>
    </row>
    <row r="92" spans="1:5" x14ac:dyDescent="0.25">
      <c r="A92" t="s">
        <v>192</v>
      </c>
      <c r="B92" t="s">
        <v>47</v>
      </c>
      <c r="C92" s="1">
        <v>45294</v>
      </c>
      <c r="D92" t="s">
        <v>100</v>
      </c>
      <c r="E92" s="3">
        <f>IF(Attendance_Status_Updated[[#This Row],[Attendance_Status]]="Absent",1,0)</f>
        <v>0</v>
      </c>
    </row>
    <row r="93" spans="1:5" x14ac:dyDescent="0.25">
      <c r="A93" t="s">
        <v>193</v>
      </c>
      <c r="B93" t="s">
        <v>48</v>
      </c>
      <c r="C93" s="1">
        <v>45294</v>
      </c>
      <c r="D93" t="s">
        <v>100</v>
      </c>
      <c r="E93" s="3">
        <f>IF(Attendance_Status_Updated[[#This Row],[Attendance_Status]]="Absent",1,0)</f>
        <v>0</v>
      </c>
    </row>
    <row r="94" spans="1:5" x14ac:dyDescent="0.25">
      <c r="A94" t="s">
        <v>194</v>
      </c>
      <c r="B94" t="s">
        <v>50</v>
      </c>
      <c r="C94" s="1">
        <v>45294</v>
      </c>
      <c r="D94" t="s">
        <v>100</v>
      </c>
      <c r="E94" s="3">
        <f>IF(Attendance_Status_Updated[[#This Row],[Attendance_Status]]="Absent",1,0)</f>
        <v>0</v>
      </c>
    </row>
    <row r="95" spans="1:5" x14ac:dyDescent="0.25">
      <c r="A95" t="s">
        <v>195</v>
      </c>
      <c r="B95" t="s">
        <v>51</v>
      </c>
      <c r="C95" s="1">
        <v>45294</v>
      </c>
      <c r="D95" t="s">
        <v>100</v>
      </c>
      <c r="E95" s="3">
        <f>IF(Attendance_Status_Updated[[#This Row],[Attendance_Status]]="Absent",1,0)</f>
        <v>0</v>
      </c>
    </row>
    <row r="96" spans="1:5" x14ac:dyDescent="0.25">
      <c r="A96" t="s">
        <v>196</v>
      </c>
      <c r="B96" t="s">
        <v>53</v>
      </c>
      <c r="C96" s="1">
        <v>45294</v>
      </c>
      <c r="D96" t="s">
        <v>100</v>
      </c>
      <c r="E96" s="3">
        <f>IF(Attendance_Status_Updated[[#This Row],[Attendance_Status]]="Absent",1,0)</f>
        <v>0</v>
      </c>
    </row>
    <row r="97" spans="1:5" x14ac:dyDescent="0.25">
      <c r="A97" t="s">
        <v>197</v>
      </c>
      <c r="B97" t="s">
        <v>54</v>
      </c>
      <c r="C97" s="1">
        <v>45294</v>
      </c>
      <c r="D97" t="s">
        <v>100</v>
      </c>
      <c r="E97" s="3">
        <f>IF(Attendance_Status_Updated[[#This Row],[Attendance_Status]]="Absent",1,0)</f>
        <v>0</v>
      </c>
    </row>
    <row r="98" spans="1:5" x14ac:dyDescent="0.25">
      <c r="A98" t="s">
        <v>198</v>
      </c>
      <c r="B98" t="s">
        <v>55</v>
      </c>
      <c r="C98" s="1">
        <v>45294</v>
      </c>
      <c r="D98" t="s">
        <v>100</v>
      </c>
      <c r="E98" s="3">
        <f>IF(Attendance_Status_Updated[[#This Row],[Attendance_Status]]="Absent",1,0)</f>
        <v>0</v>
      </c>
    </row>
    <row r="99" spans="1:5" x14ac:dyDescent="0.25">
      <c r="A99" t="s">
        <v>199</v>
      </c>
      <c r="B99" t="s">
        <v>58</v>
      </c>
      <c r="C99" s="1">
        <v>45294</v>
      </c>
      <c r="D99" t="s">
        <v>100</v>
      </c>
      <c r="E99" s="3">
        <f>IF(Attendance_Status_Updated[[#This Row],[Attendance_Status]]="Absent",1,0)</f>
        <v>0</v>
      </c>
    </row>
    <row r="100" spans="1:5" x14ac:dyDescent="0.25">
      <c r="A100" t="s">
        <v>200</v>
      </c>
      <c r="B100" t="s">
        <v>59</v>
      </c>
      <c r="C100" s="1">
        <v>45294</v>
      </c>
      <c r="D100" t="s">
        <v>100</v>
      </c>
      <c r="E100" s="3">
        <f>IF(Attendance_Status_Updated[[#This Row],[Attendance_Status]]="Absent",1,0)</f>
        <v>0</v>
      </c>
    </row>
    <row r="101" spans="1:5" x14ac:dyDescent="0.25">
      <c r="A101" t="s">
        <v>201</v>
      </c>
      <c r="B101" t="s">
        <v>60</v>
      </c>
      <c r="C101" s="1">
        <v>45294</v>
      </c>
      <c r="D101" t="s">
        <v>100</v>
      </c>
      <c r="E101" s="3">
        <f>IF(Attendance_Status_Updated[[#This Row],[Attendance_Status]]="Absent",1,0)</f>
        <v>0</v>
      </c>
    </row>
    <row r="102" spans="1:5" x14ac:dyDescent="0.25">
      <c r="A102" t="s">
        <v>202</v>
      </c>
      <c r="B102" t="s">
        <v>61</v>
      </c>
      <c r="C102" s="1">
        <v>45294</v>
      </c>
      <c r="D102" t="s">
        <v>100</v>
      </c>
      <c r="E102" s="3">
        <f>IF(Attendance_Status_Updated[[#This Row],[Attendance_Status]]="Absent",1,0)</f>
        <v>0</v>
      </c>
    </row>
    <row r="103" spans="1:5" x14ac:dyDescent="0.25">
      <c r="A103" t="s">
        <v>203</v>
      </c>
      <c r="B103" t="s">
        <v>62</v>
      </c>
      <c r="C103" s="1">
        <v>45294</v>
      </c>
      <c r="D103" t="s">
        <v>100</v>
      </c>
      <c r="E103" s="3">
        <f>IF(Attendance_Status_Updated[[#This Row],[Attendance_Status]]="Absent",1,0)</f>
        <v>0</v>
      </c>
    </row>
    <row r="104" spans="1:5" x14ac:dyDescent="0.25">
      <c r="A104" t="s">
        <v>204</v>
      </c>
      <c r="B104" t="s">
        <v>63</v>
      </c>
      <c r="C104" s="1">
        <v>45294</v>
      </c>
      <c r="D104" t="s">
        <v>100</v>
      </c>
      <c r="E104" s="3">
        <f>IF(Attendance_Status_Updated[[#This Row],[Attendance_Status]]="Absent",1,0)</f>
        <v>0</v>
      </c>
    </row>
    <row r="105" spans="1:5" x14ac:dyDescent="0.25">
      <c r="A105" t="s">
        <v>205</v>
      </c>
      <c r="B105" t="s">
        <v>64</v>
      </c>
      <c r="C105" s="1">
        <v>45294</v>
      </c>
      <c r="D105" t="s">
        <v>100</v>
      </c>
      <c r="E105" s="3">
        <f>IF(Attendance_Status_Updated[[#This Row],[Attendance_Status]]="Absent",1,0)</f>
        <v>0</v>
      </c>
    </row>
    <row r="106" spans="1:5" x14ac:dyDescent="0.25">
      <c r="A106" t="s">
        <v>206</v>
      </c>
      <c r="B106" t="s">
        <v>65</v>
      </c>
      <c r="C106" s="1">
        <v>45294</v>
      </c>
      <c r="D106" t="s">
        <v>100</v>
      </c>
      <c r="E106" s="3">
        <f>IF(Attendance_Status_Updated[[#This Row],[Attendance_Status]]="Absent",1,0)</f>
        <v>0</v>
      </c>
    </row>
    <row r="107" spans="1:5" x14ac:dyDescent="0.25">
      <c r="A107" t="s">
        <v>207</v>
      </c>
      <c r="B107" t="s">
        <v>66</v>
      </c>
      <c r="C107" s="1">
        <v>45294</v>
      </c>
      <c r="D107" t="s">
        <v>160</v>
      </c>
      <c r="E107" s="3">
        <f>IF(Attendance_Status_Updated[[#This Row],[Attendance_Status]]="Absent",1,0)</f>
        <v>1</v>
      </c>
    </row>
    <row r="108" spans="1:5" x14ac:dyDescent="0.25">
      <c r="A108" t="s">
        <v>208</v>
      </c>
      <c r="B108" t="s">
        <v>67</v>
      </c>
      <c r="C108" s="1">
        <v>45294</v>
      </c>
      <c r="D108" t="s">
        <v>100</v>
      </c>
      <c r="E108" s="3">
        <f>IF(Attendance_Status_Updated[[#This Row],[Attendance_Status]]="Absent",1,0)</f>
        <v>0</v>
      </c>
    </row>
    <row r="109" spans="1:5" x14ac:dyDescent="0.25">
      <c r="A109" t="s">
        <v>209</v>
      </c>
      <c r="B109" t="s">
        <v>68</v>
      </c>
      <c r="C109" s="1">
        <v>45294</v>
      </c>
      <c r="D109" t="s">
        <v>100</v>
      </c>
      <c r="E109" s="3">
        <f>IF(Attendance_Status_Updated[[#This Row],[Attendance_Status]]="Absent",1,0)</f>
        <v>0</v>
      </c>
    </row>
    <row r="110" spans="1:5" x14ac:dyDescent="0.25">
      <c r="A110" t="s">
        <v>210</v>
      </c>
      <c r="B110" t="s">
        <v>69</v>
      </c>
      <c r="C110" s="1">
        <v>45294</v>
      </c>
      <c r="D110" t="s">
        <v>100</v>
      </c>
      <c r="E110" s="3">
        <f>IF(Attendance_Status_Updated[[#This Row],[Attendance_Status]]="Absent",1,0)</f>
        <v>0</v>
      </c>
    </row>
    <row r="111" spans="1:5" x14ac:dyDescent="0.25">
      <c r="A111" t="s">
        <v>211</v>
      </c>
      <c r="B111" t="s">
        <v>70</v>
      </c>
      <c r="C111" s="1">
        <v>45294</v>
      </c>
      <c r="D111" t="s">
        <v>100</v>
      </c>
      <c r="E111" s="3">
        <f>IF(Attendance_Status_Updated[[#This Row],[Attendance_Status]]="Absent",1,0)</f>
        <v>0</v>
      </c>
    </row>
    <row r="112" spans="1:5" x14ac:dyDescent="0.25">
      <c r="A112" t="s">
        <v>212</v>
      </c>
      <c r="B112" t="s">
        <v>71</v>
      </c>
      <c r="C112" s="1">
        <v>45294</v>
      </c>
      <c r="D112" t="s">
        <v>100</v>
      </c>
      <c r="E112" s="3">
        <f>IF(Attendance_Status_Updated[[#This Row],[Attendance_Status]]="Absent",1,0)</f>
        <v>0</v>
      </c>
    </row>
    <row r="113" spans="1:5" x14ac:dyDescent="0.25">
      <c r="A113" t="s">
        <v>213</v>
      </c>
      <c r="B113" t="s">
        <v>72</v>
      </c>
      <c r="C113" s="1">
        <v>45294</v>
      </c>
      <c r="D113" t="s">
        <v>100</v>
      </c>
      <c r="E113" s="3">
        <f>IF(Attendance_Status_Updated[[#This Row],[Attendance_Status]]="Absent",1,0)</f>
        <v>0</v>
      </c>
    </row>
    <row r="114" spans="1:5" x14ac:dyDescent="0.25">
      <c r="A114" t="s">
        <v>214</v>
      </c>
      <c r="B114" t="s">
        <v>73</v>
      </c>
      <c r="C114" s="1">
        <v>45294</v>
      </c>
      <c r="D114" t="s">
        <v>160</v>
      </c>
      <c r="E114" s="3">
        <f>IF(Attendance_Status_Updated[[#This Row],[Attendance_Status]]="Absent",1,0)</f>
        <v>1</v>
      </c>
    </row>
    <row r="115" spans="1:5" x14ac:dyDescent="0.25">
      <c r="A115" t="s">
        <v>215</v>
      </c>
      <c r="B115" t="s">
        <v>75</v>
      </c>
      <c r="C115" s="1">
        <v>45294</v>
      </c>
      <c r="D115" t="s">
        <v>100</v>
      </c>
      <c r="E115" s="3">
        <f>IF(Attendance_Status_Updated[[#This Row],[Attendance_Status]]="Absent",1,0)</f>
        <v>0</v>
      </c>
    </row>
    <row r="116" spans="1:5" x14ac:dyDescent="0.25">
      <c r="A116" t="s">
        <v>216</v>
      </c>
      <c r="B116" t="s">
        <v>76</v>
      </c>
      <c r="C116" s="1">
        <v>45294</v>
      </c>
      <c r="D116" t="s">
        <v>160</v>
      </c>
      <c r="E116" s="3">
        <f>IF(Attendance_Status_Updated[[#This Row],[Attendance_Status]]="Absent",1,0)</f>
        <v>1</v>
      </c>
    </row>
    <row r="117" spans="1:5" x14ac:dyDescent="0.25">
      <c r="A117" t="s">
        <v>217</v>
      </c>
      <c r="B117" t="s">
        <v>77</v>
      </c>
      <c r="C117" s="1">
        <v>45294</v>
      </c>
      <c r="D117" t="s">
        <v>100</v>
      </c>
      <c r="E117" s="3">
        <f>IF(Attendance_Status_Updated[[#This Row],[Attendance_Status]]="Absent",1,0)</f>
        <v>0</v>
      </c>
    </row>
    <row r="118" spans="1:5" x14ac:dyDescent="0.25">
      <c r="A118" t="s">
        <v>218</v>
      </c>
      <c r="B118" t="s">
        <v>78</v>
      </c>
      <c r="C118" s="1">
        <v>45294</v>
      </c>
      <c r="D118" t="s">
        <v>100</v>
      </c>
      <c r="E118" s="3">
        <f>IF(Attendance_Status_Updated[[#This Row],[Attendance_Status]]="Absent",1,0)</f>
        <v>0</v>
      </c>
    </row>
    <row r="119" spans="1:5" x14ac:dyDescent="0.25">
      <c r="A119" t="s">
        <v>219</v>
      </c>
      <c r="B119" t="s">
        <v>79</v>
      </c>
      <c r="C119" s="1">
        <v>45294</v>
      </c>
      <c r="D119" t="s">
        <v>100</v>
      </c>
      <c r="E119" s="3">
        <f>IF(Attendance_Status_Updated[[#This Row],[Attendance_Status]]="Absent",1,0)</f>
        <v>0</v>
      </c>
    </row>
    <row r="120" spans="1:5" x14ac:dyDescent="0.25">
      <c r="A120" t="s">
        <v>220</v>
      </c>
      <c r="B120" t="s">
        <v>80</v>
      </c>
      <c r="C120" s="1">
        <v>45294</v>
      </c>
      <c r="D120" t="s">
        <v>100</v>
      </c>
      <c r="E120" s="3">
        <f>IF(Attendance_Status_Updated[[#This Row],[Attendance_Status]]="Absent",1,0)</f>
        <v>0</v>
      </c>
    </row>
    <row r="121" spans="1:5" x14ac:dyDescent="0.25">
      <c r="A121" t="s">
        <v>221</v>
      </c>
      <c r="B121" t="s">
        <v>81</v>
      </c>
      <c r="C121" s="1">
        <v>45294</v>
      </c>
      <c r="D121" t="s">
        <v>100</v>
      </c>
      <c r="E121" s="3">
        <f>IF(Attendance_Status_Updated[[#This Row],[Attendance_Status]]="Absent",1,0)</f>
        <v>0</v>
      </c>
    </row>
    <row r="122" spans="1:5" x14ac:dyDescent="0.25">
      <c r="A122" t="s">
        <v>222</v>
      </c>
      <c r="B122" t="s">
        <v>11</v>
      </c>
      <c r="C122" s="1">
        <v>45295</v>
      </c>
      <c r="D122" t="s">
        <v>100</v>
      </c>
      <c r="E122" s="3">
        <f>IF(Attendance_Status_Updated[[#This Row],[Attendance_Status]]="Absent",1,0)</f>
        <v>0</v>
      </c>
    </row>
    <row r="123" spans="1:5" x14ac:dyDescent="0.25">
      <c r="A123" t="s">
        <v>223</v>
      </c>
      <c r="B123" t="s">
        <v>19</v>
      </c>
      <c r="C123" s="1">
        <v>45295</v>
      </c>
      <c r="D123" t="s">
        <v>100</v>
      </c>
      <c r="E123" s="3">
        <f>IF(Attendance_Status_Updated[[#This Row],[Attendance_Status]]="Absent",1,0)</f>
        <v>0</v>
      </c>
    </row>
    <row r="124" spans="1:5" x14ac:dyDescent="0.25">
      <c r="A124" t="s">
        <v>224</v>
      </c>
      <c r="B124" t="s">
        <v>24</v>
      </c>
      <c r="C124" s="1">
        <v>45295</v>
      </c>
      <c r="D124" t="s">
        <v>100</v>
      </c>
      <c r="E124" s="3">
        <f>IF(Attendance_Status_Updated[[#This Row],[Attendance_Status]]="Absent",1,0)</f>
        <v>0</v>
      </c>
    </row>
    <row r="125" spans="1:5" x14ac:dyDescent="0.25">
      <c r="A125" t="s">
        <v>225</v>
      </c>
      <c r="B125" t="s">
        <v>28</v>
      </c>
      <c r="C125" s="1">
        <v>45295</v>
      </c>
      <c r="D125" t="s">
        <v>100</v>
      </c>
      <c r="E125" s="3">
        <f>IF(Attendance_Status_Updated[[#This Row],[Attendance_Status]]="Absent",1,0)</f>
        <v>0</v>
      </c>
    </row>
    <row r="126" spans="1:5" x14ac:dyDescent="0.25">
      <c r="A126" t="s">
        <v>226</v>
      </c>
      <c r="B126" t="s">
        <v>30</v>
      </c>
      <c r="C126" s="1">
        <v>45295</v>
      </c>
      <c r="D126" t="s">
        <v>160</v>
      </c>
      <c r="E126" s="3">
        <f>IF(Attendance_Status_Updated[[#This Row],[Attendance_Status]]="Absent",1,0)</f>
        <v>1</v>
      </c>
    </row>
    <row r="127" spans="1:5" x14ac:dyDescent="0.25">
      <c r="A127" t="s">
        <v>227</v>
      </c>
      <c r="B127" t="s">
        <v>33</v>
      </c>
      <c r="C127" s="1">
        <v>45295</v>
      </c>
      <c r="D127" t="s">
        <v>100</v>
      </c>
      <c r="E127" s="3">
        <f>IF(Attendance_Status_Updated[[#This Row],[Attendance_Status]]="Absent",1,0)</f>
        <v>0</v>
      </c>
    </row>
    <row r="128" spans="1:5" x14ac:dyDescent="0.25">
      <c r="A128" t="s">
        <v>228</v>
      </c>
      <c r="B128" t="s">
        <v>37</v>
      </c>
      <c r="C128" s="1">
        <v>45295</v>
      </c>
      <c r="D128" t="s">
        <v>100</v>
      </c>
      <c r="E128" s="3">
        <f>IF(Attendance_Status_Updated[[#This Row],[Attendance_Status]]="Absent",1,0)</f>
        <v>0</v>
      </c>
    </row>
    <row r="129" spans="1:5" x14ac:dyDescent="0.25">
      <c r="A129" t="s">
        <v>229</v>
      </c>
      <c r="B129" t="s">
        <v>39</v>
      </c>
      <c r="C129" s="1">
        <v>45295</v>
      </c>
      <c r="D129" t="s">
        <v>100</v>
      </c>
      <c r="E129" s="3">
        <f>IF(Attendance_Status_Updated[[#This Row],[Attendance_Status]]="Absent",1,0)</f>
        <v>0</v>
      </c>
    </row>
    <row r="130" spans="1:5" x14ac:dyDescent="0.25">
      <c r="A130" t="s">
        <v>230</v>
      </c>
      <c r="B130" t="s">
        <v>42</v>
      </c>
      <c r="C130" s="1">
        <v>45295</v>
      </c>
      <c r="D130" t="s">
        <v>100</v>
      </c>
      <c r="E130" s="3">
        <f>IF(Attendance_Status_Updated[[#This Row],[Attendance_Status]]="Absent",1,0)</f>
        <v>0</v>
      </c>
    </row>
    <row r="131" spans="1:5" x14ac:dyDescent="0.25">
      <c r="A131" t="s">
        <v>231</v>
      </c>
      <c r="B131" t="s">
        <v>45</v>
      </c>
      <c r="C131" s="1">
        <v>45295</v>
      </c>
      <c r="D131" t="s">
        <v>100</v>
      </c>
      <c r="E131" s="3">
        <f>IF(Attendance_Status_Updated[[#This Row],[Attendance_Status]]="Absent",1,0)</f>
        <v>0</v>
      </c>
    </row>
    <row r="132" spans="1:5" x14ac:dyDescent="0.25">
      <c r="A132" t="s">
        <v>232</v>
      </c>
      <c r="B132" t="s">
        <v>47</v>
      </c>
      <c r="C132" s="1">
        <v>45295</v>
      </c>
      <c r="D132" t="s">
        <v>100</v>
      </c>
      <c r="E132" s="3">
        <f>IF(Attendance_Status_Updated[[#This Row],[Attendance_Status]]="Absent",1,0)</f>
        <v>0</v>
      </c>
    </row>
    <row r="133" spans="1:5" x14ac:dyDescent="0.25">
      <c r="A133" t="s">
        <v>233</v>
      </c>
      <c r="B133" t="s">
        <v>48</v>
      </c>
      <c r="C133" s="1">
        <v>45295</v>
      </c>
      <c r="D133" t="s">
        <v>160</v>
      </c>
      <c r="E133" s="3">
        <f>IF(Attendance_Status_Updated[[#This Row],[Attendance_Status]]="Absent",1,0)</f>
        <v>1</v>
      </c>
    </row>
    <row r="134" spans="1:5" x14ac:dyDescent="0.25">
      <c r="A134" t="s">
        <v>234</v>
      </c>
      <c r="B134" t="s">
        <v>50</v>
      </c>
      <c r="C134" s="1">
        <v>45295</v>
      </c>
      <c r="D134" t="s">
        <v>100</v>
      </c>
      <c r="E134" s="3">
        <f>IF(Attendance_Status_Updated[[#This Row],[Attendance_Status]]="Absent",1,0)</f>
        <v>0</v>
      </c>
    </row>
    <row r="135" spans="1:5" x14ac:dyDescent="0.25">
      <c r="A135" t="s">
        <v>235</v>
      </c>
      <c r="B135" t="s">
        <v>51</v>
      </c>
      <c r="C135" s="1">
        <v>45295</v>
      </c>
      <c r="D135" t="s">
        <v>100</v>
      </c>
      <c r="E135" s="3">
        <f>IF(Attendance_Status_Updated[[#This Row],[Attendance_Status]]="Absent",1,0)</f>
        <v>0</v>
      </c>
    </row>
    <row r="136" spans="1:5" x14ac:dyDescent="0.25">
      <c r="A136" t="s">
        <v>236</v>
      </c>
      <c r="B136" t="s">
        <v>53</v>
      </c>
      <c r="C136" s="1">
        <v>45295</v>
      </c>
      <c r="D136" t="s">
        <v>100</v>
      </c>
      <c r="E136" s="3">
        <f>IF(Attendance_Status_Updated[[#This Row],[Attendance_Status]]="Absent",1,0)</f>
        <v>0</v>
      </c>
    </row>
    <row r="137" spans="1:5" x14ac:dyDescent="0.25">
      <c r="A137" t="s">
        <v>237</v>
      </c>
      <c r="B137" t="s">
        <v>54</v>
      </c>
      <c r="C137" s="1">
        <v>45295</v>
      </c>
      <c r="D137" t="s">
        <v>100</v>
      </c>
      <c r="E137" s="3">
        <f>IF(Attendance_Status_Updated[[#This Row],[Attendance_Status]]="Absent",1,0)</f>
        <v>0</v>
      </c>
    </row>
    <row r="138" spans="1:5" x14ac:dyDescent="0.25">
      <c r="A138" t="s">
        <v>238</v>
      </c>
      <c r="B138" t="s">
        <v>55</v>
      </c>
      <c r="C138" s="1">
        <v>45295</v>
      </c>
      <c r="D138" t="s">
        <v>160</v>
      </c>
      <c r="E138" s="3">
        <f>IF(Attendance_Status_Updated[[#This Row],[Attendance_Status]]="Absent",1,0)</f>
        <v>1</v>
      </c>
    </row>
    <row r="139" spans="1:5" x14ac:dyDescent="0.25">
      <c r="A139" t="s">
        <v>239</v>
      </c>
      <c r="B139" t="s">
        <v>58</v>
      </c>
      <c r="C139" s="1">
        <v>45295</v>
      </c>
      <c r="D139" t="s">
        <v>100</v>
      </c>
      <c r="E139" s="3">
        <f>IF(Attendance_Status_Updated[[#This Row],[Attendance_Status]]="Absent",1,0)</f>
        <v>0</v>
      </c>
    </row>
    <row r="140" spans="1:5" x14ac:dyDescent="0.25">
      <c r="A140" t="s">
        <v>240</v>
      </c>
      <c r="B140" t="s">
        <v>59</v>
      </c>
      <c r="C140" s="1">
        <v>45295</v>
      </c>
      <c r="D140" t="s">
        <v>100</v>
      </c>
      <c r="E140" s="3">
        <f>IF(Attendance_Status_Updated[[#This Row],[Attendance_Status]]="Absent",1,0)</f>
        <v>0</v>
      </c>
    </row>
    <row r="141" spans="1:5" x14ac:dyDescent="0.25">
      <c r="A141" t="s">
        <v>241</v>
      </c>
      <c r="B141" t="s">
        <v>60</v>
      </c>
      <c r="C141" s="1">
        <v>45295</v>
      </c>
      <c r="D141" t="s">
        <v>100</v>
      </c>
      <c r="E141" s="3">
        <f>IF(Attendance_Status_Updated[[#This Row],[Attendance_Status]]="Absent",1,0)</f>
        <v>0</v>
      </c>
    </row>
    <row r="142" spans="1:5" x14ac:dyDescent="0.25">
      <c r="A142" t="s">
        <v>242</v>
      </c>
      <c r="B142" t="s">
        <v>61</v>
      </c>
      <c r="C142" s="1">
        <v>45295</v>
      </c>
      <c r="D142" t="s">
        <v>100</v>
      </c>
      <c r="E142" s="3">
        <f>IF(Attendance_Status_Updated[[#This Row],[Attendance_Status]]="Absent",1,0)</f>
        <v>0</v>
      </c>
    </row>
    <row r="143" spans="1:5" x14ac:dyDescent="0.25">
      <c r="A143" t="s">
        <v>243</v>
      </c>
      <c r="B143" t="s">
        <v>62</v>
      </c>
      <c r="C143" s="1">
        <v>45295</v>
      </c>
      <c r="D143" t="s">
        <v>100</v>
      </c>
      <c r="E143" s="3">
        <f>IF(Attendance_Status_Updated[[#This Row],[Attendance_Status]]="Absent",1,0)</f>
        <v>0</v>
      </c>
    </row>
    <row r="144" spans="1:5" x14ac:dyDescent="0.25">
      <c r="A144" t="s">
        <v>244</v>
      </c>
      <c r="B144" t="s">
        <v>63</v>
      </c>
      <c r="C144" s="1">
        <v>45295</v>
      </c>
      <c r="D144" t="s">
        <v>100</v>
      </c>
      <c r="E144" s="3">
        <f>IF(Attendance_Status_Updated[[#This Row],[Attendance_Status]]="Absent",1,0)</f>
        <v>0</v>
      </c>
    </row>
    <row r="145" spans="1:5" x14ac:dyDescent="0.25">
      <c r="A145" t="s">
        <v>245</v>
      </c>
      <c r="B145" t="s">
        <v>64</v>
      </c>
      <c r="C145" s="1">
        <v>45295</v>
      </c>
      <c r="D145" t="s">
        <v>100</v>
      </c>
      <c r="E145" s="3">
        <f>IF(Attendance_Status_Updated[[#This Row],[Attendance_Status]]="Absent",1,0)</f>
        <v>0</v>
      </c>
    </row>
    <row r="146" spans="1:5" x14ac:dyDescent="0.25">
      <c r="A146" t="s">
        <v>246</v>
      </c>
      <c r="B146" t="s">
        <v>65</v>
      </c>
      <c r="C146" s="1">
        <v>45295</v>
      </c>
      <c r="D146" t="s">
        <v>100</v>
      </c>
      <c r="E146" s="3">
        <f>IF(Attendance_Status_Updated[[#This Row],[Attendance_Status]]="Absent",1,0)</f>
        <v>0</v>
      </c>
    </row>
    <row r="147" spans="1:5" x14ac:dyDescent="0.25">
      <c r="A147" t="s">
        <v>247</v>
      </c>
      <c r="B147" t="s">
        <v>66</v>
      </c>
      <c r="C147" s="1">
        <v>45295</v>
      </c>
      <c r="D147" t="s">
        <v>100</v>
      </c>
      <c r="E147" s="3">
        <f>IF(Attendance_Status_Updated[[#This Row],[Attendance_Status]]="Absent",1,0)</f>
        <v>0</v>
      </c>
    </row>
    <row r="148" spans="1:5" x14ac:dyDescent="0.25">
      <c r="A148" t="s">
        <v>248</v>
      </c>
      <c r="B148" t="s">
        <v>67</v>
      </c>
      <c r="C148" s="1">
        <v>45295</v>
      </c>
      <c r="D148" t="s">
        <v>100</v>
      </c>
      <c r="E148" s="3">
        <f>IF(Attendance_Status_Updated[[#This Row],[Attendance_Status]]="Absent",1,0)</f>
        <v>0</v>
      </c>
    </row>
    <row r="149" spans="1:5" x14ac:dyDescent="0.25">
      <c r="A149" t="s">
        <v>249</v>
      </c>
      <c r="B149" t="s">
        <v>68</v>
      </c>
      <c r="C149" s="1">
        <v>45295</v>
      </c>
      <c r="D149" t="s">
        <v>100</v>
      </c>
      <c r="E149" s="3">
        <f>IF(Attendance_Status_Updated[[#This Row],[Attendance_Status]]="Absent",1,0)</f>
        <v>0</v>
      </c>
    </row>
    <row r="150" spans="1:5" x14ac:dyDescent="0.25">
      <c r="A150" t="s">
        <v>250</v>
      </c>
      <c r="B150" t="s">
        <v>69</v>
      </c>
      <c r="C150" s="1">
        <v>45295</v>
      </c>
      <c r="D150" t="s">
        <v>100</v>
      </c>
      <c r="E150" s="3">
        <f>IF(Attendance_Status_Updated[[#This Row],[Attendance_Status]]="Absent",1,0)</f>
        <v>0</v>
      </c>
    </row>
    <row r="151" spans="1:5" x14ac:dyDescent="0.25">
      <c r="A151" t="s">
        <v>251</v>
      </c>
      <c r="B151" t="s">
        <v>70</v>
      </c>
      <c r="C151" s="1">
        <v>45295</v>
      </c>
      <c r="D151" t="s">
        <v>143</v>
      </c>
      <c r="E151" s="3">
        <f>IF(Attendance_Status_Updated[[#This Row],[Attendance_Status]]="Absent",1,0)</f>
        <v>0</v>
      </c>
    </row>
    <row r="152" spans="1:5" x14ac:dyDescent="0.25">
      <c r="A152" t="s">
        <v>252</v>
      </c>
      <c r="B152" t="s">
        <v>71</v>
      </c>
      <c r="C152" s="1">
        <v>45295</v>
      </c>
      <c r="D152" t="s">
        <v>100</v>
      </c>
      <c r="E152" s="3">
        <f>IF(Attendance_Status_Updated[[#This Row],[Attendance_Status]]="Absent",1,0)</f>
        <v>0</v>
      </c>
    </row>
    <row r="153" spans="1:5" x14ac:dyDescent="0.25">
      <c r="A153" t="s">
        <v>253</v>
      </c>
      <c r="B153" t="s">
        <v>72</v>
      </c>
      <c r="C153" s="1">
        <v>45295</v>
      </c>
      <c r="D153" t="s">
        <v>100</v>
      </c>
      <c r="E153" s="3">
        <f>IF(Attendance_Status_Updated[[#This Row],[Attendance_Status]]="Absent",1,0)</f>
        <v>0</v>
      </c>
    </row>
    <row r="154" spans="1:5" x14ac:dyDescent="0.25">
      <c r="A154" t="s">
        <v>254</v>
      </c>
      <c r="B154" t="s">
        <v>73</v>
      </c>
      <c r="C154" s="1">
        <v>45295</v>
      </c>
      <c r="D154" t="s">
        <v>100</v>
      </c>
      <c r="E154" s="3">
        <f>IF(Attendance_Status_Updated[[#This Row],[Attendance_Status]]="Absent",1,0)</f>
        <v>0</v>
      </c>
    </row>
    <row r="155" spans="1:5" x14ac:dyDescent="0.25">
      <c r="A155" t="s">
        <v>255</v>
      </c>
      <c r="B155" t="s">
        <v>75</v>
      </c>
      <c r="C155" s="1">
        <v>45295</v>
      </c>
      <c r="D155" t="s">
        <v>100</v>
      </c>
      <c r="E155" s="3">
        <f>IF(Attendance_Status_Updated[[#This Row],[Attendance_Status]]="Absent",1,0)</f>
        <v>0</v>
      </c>
    </row>
    <row r="156" spans="1:5" x14ac:dyDescent="0.25">
      <c r="A156" t="s">
        <v>256</v>
      </c>
      <c r="B156" t="s">
        <v>76</v>
      </c>
      <c r="C156" s="1">
        <v>45295</v>
      </c>
      <c r="D156" t="s">
        <v>100</v>
      </c>
      <c r="E156" s="3">
        <f>IF(Attendance_Status_Updated[[#This Row],[Attendance_Status]]="Absent",1,0)</f>
        <v>0</v>
      </c>
    </row>
    <row r="157" spans="1:5" x14ac:dyDescent="0.25">
      <c r="A157" t="s">
        <v>257</v>
      </c>
      <c r="B157" t="s">
        <v>77</v>
      </c>
      <c r="C157" s="1">
        <v>45295</v>
      </c>
      <c r="D157" t="s">
        <v>100</v>
      </c>
      <c r="E157" s="3">
        <f>IF(Attendance_Status_Updated[[#This Row],[Attendance_Status]]="Absent",1,0)</f>
        <v>0</v>
      </c>
    </row>
    <row r="158" spans="1:5" x14ac:dyDescent="0.25">
      <c r="A158" t="s">
        <v>258</v>
      </c>
      <c r="B158" t="s">
        <v>78</v>
      </c>
      <c r="C158" s="1">
        <v>45295</v>
      </c>
      <c r="D158" t="s">
        <v>100</v>
      </c>
      <c r="E158" s="3">
        <f>IF(Attendance_Status_Updated[[#This Row],[Attendance_Status]]="Absent",1,0)</f>
        <v>0</v>
      </c>
    </row>
    <row r="159" spans="1:5" x14ac:dyDescent="0.25">
      <c r="A159" t="s">
        <v>259</v>
      </c>
      <c r="B159" t="s">
        <v>79</v>
      </c>
      <c r="C159" s="1">
        <v>45295</v>
      </c>
      <c r="D159" t="s">
        <v>100</v>
      </c>
      <c r="E159" s="3">
        <f>IF(Attendance_Status_Updated[[#This Row],[Attendance_Status]]="Absent",1,0)</f>
        <v>0</v>
      </c>
    </row>
    <row r="160" spans="1:5" x14ac:dyDescent="0.25">
      <c r="A160" t="s">
        <v>260</v>
      </c>
      <c r="B160" t="s">
        <v>80</v>
      </c>
      <c r="C160" s="1">
        <v>45295</v>
      </c>
      <c r="D160" t="s">
        <v>100</v>
      </c>
      <c r="E160" s="3">
        <f>IF(Attendance_Status_Updated[[#This Row],[Attendance_Status]]="Absent",1,0)</f>
        <v>0</v>
      </c>
    </row>
    <row r="161" spans="1:5" x14ac:dyDescent="0.25">
      <c r="A161" t="s">
        <v>261</v>
      </c>
      <c r="B161" t="s">
        <v>81</v>
      </c>
      <c r="C161" s="1">
        <v>45295</v>
      </c>
      <c r="D161" t="s">
        <v>100</v>
      </c>
      <c r="E161" s="3">
        <f>IF(Attendance_Status_Updated[[#This Row],[Attendance_Status]]="Absent",1,0)</f>
        <v>0</v>
      </c>
    </row>
    <row r="162" spans="1:5" x14ac:dyDescent="0.25">
      <c r="A162" t="s">
        <v>262</v>
      </c>
      <c r="B162" t="s">
        <v>11</v>
      </c>
      <c r="C162" s="1">
        <v>45296</v>
      </c>
      <c r="D162" t="s">
        <v>100</v>
      </c>
      <c r="E162" s="3">
        <f>IF(Attendance_Status_Updated[[#This Row],[Attendance_Status]]="Absent",1,0)</f>
        <v>0</v>
      </c>
    </row>
    <row r="163" spans="1:5" x14ac:dyDescent="0.25">
      <c r="A163" t="s">
        <v>263</v>
      </c>
      <c r="B163" t="s">
        <v>19</v>
      </c>
      <c r="C163" s="1">
        <v>45296</v>
      </c>
      <c r="D163" t="s">
        <v>100</v>
      </c>
      <c r="E163" s="3">
        <f>IF(Attendance_Status_Updated[[#This Row],[Attendance_Status]]="Absent",1,0)</f>
        <v>0</v>
      </c>
    </row>
    <row r="164" spans="1:5" x14ac:dyDescent="0.25">
      <c r="A164" t="s">
        <v>264</v>
      </c>
      <c r="B164" t="s">
        <v>24</v>
      </c>
      <c r="C164" s="1">
        <v>45296</v>
      </c>
      <c r="D164" t="s">
        <v>100</v>
      </c>
      <c r="E164" s="3">
        <f>IF(Attendance_Status_Updated[[#This Row],[Attendance_Status]]="Absent",1,0)</f>
        <v>0</v>
      </c>
    </row>
    <row r="165" spans="1:5" x14ac:dyDescent="0.25">
      <c r="A165" t="s">
        <v>265</v>
      </c>
      <c r="B165" t="s">
        <v>28</v>
      </c>
      <c r="C165" s="1">
        <v>45296</v>
      </c>
      <c r="D165" t="s">
        <v>100</v>
      </c>
      <c r="E165" s="3">
        <f>IF(Attendance_Status_Updated[[#This Row],[Attendance_Status]]="Absent",1,0)</f>
        <v>0</v>
      </c>
    </row>
    <row r="166" spans="1:5" x14ac:dyDescent="0.25">
      <c r="A166" t="s">
        <v>266</v>
      </c>
      <c r="B166" t="s">
        <v>30</v>
      </c>
      <c r="C166" s="1">
        <v>45296</v>
      </c>
      <c r="D166" t="s">
        <v>100</v>
      </c>
      <c r="E166" s="3">
        <f>IF(Attendance_Status_Updated[[#This Row],[Attendance_Status]]="Absent",1,0)</f>
        <v>0</v>
      </c>
    </row>
    <row r="167" spans="1:5" x14ac:dyDescent="0.25">
      <c r="A167" t="s">
        <v>267</v>
      </c>
      <c r="B167" t="s">
        <v>33</v>
      </c>
      <c r="C167" s="1">
        <v>45296</v>
      </c>
      <c r="D167" t="s">
        <v>160</v>
      </c>
      <c r="E167" s="3">
        <f>IF(Attendance_Status_Updated[[#This Row],[Attendance_Status]]="Absent",1,0)</f>
        <v>1</v>
      </c>
    </row>
    <row r="168" spans="1:5" x14ac:dyDescent="0.25">
      <c r="A168" t="s">
        <v>268</v>
      </c>
      <c r="B168" t="s">
        <v>37</v>
      </c>
      <c r="C168" s="1">
        <v>45296</v>
      </c>
      <c r="D168" t="s">
        <v>100</v>
      </c>
      <c r="E168" s="3">
        <f>IF(Attendance_Status_Updated[[#This Row],[Attendance_Status]]="Absent",1,0)</f>
        <v>0</v>
      </c>
    </row>
    <row r="169" spans="1:5" x14ac:dyDescent="0.25">
      <c r="A169" t="s">
        <v>269</v>
      </c>
      <c r="B169" t="s">
        <v>39</v>
      </c>
      <c r="C169" s="1">
        <v>45296</v>
      </c>
      <c r="D169" t="s">
        <v>100</v>
      </c>
      <c r="E169" s="3">
        <f>IF(Attendance_Status_Updated[[#This Row],[Attendance_Status]]="Absent",1,0)</f>
        <v>0</v>
      </c>
    </row>
    <row r="170" spans="1:5" x14ac:dyDescent="0.25">
      <c r="A170" t="s">
        <v>270</v>
      </c>
      <c r="B170" t="s">
        <v>42</v>
      </c>
      <c r="C170" s="1">
        <v>45296</v>
      </c>
      <c r="D170" t="s">
        <v>100</v>
      </c>
      <c r="E170" s="3">
        <f>IF(Attendance_Status_Updated[[#This Row],[Attendance_Status]]="Absent",1,0)</f>
        <v>0</v>
      </c>
    </row>
    <row r="171" spans="1:5" x14ac:dyDescent="0.25">
      <c r="A171" t="s">
        <v>271</v>
      </c>
      <c r="B171" t="s">
        <v>45</v>
      </c>
      <c r="C171" s="1">
        <v>45296</v>
      </c>
      <c r="D171" t="s">
        <v>100</v>
      </c>
      <c r="E171" s="3">
        <f>IF(Attendance_Status_Updated[[#This Row],[Attendance_Status]]="Absent",1,0)</f>
        <v>0</v>
      </c>
    </row>
    <row r="172" spans="1:5" x14ac:dyDescent="0.25">
      <c r="A172" t="s">
        <v>272</v>
      </c>
      <c r="B172" t="s">
        <v>47</v>
      </c>
      <c r="C172" s="1">
        <v>45296</v>
      </c>
      <c r="D172" t="s">
        <v>100</v>
      </c>
      <c r="E172" s="3">
        <f>IF(Attendance_Status_Updated[[#This Row],[Attendance_Status]]="Absent",1,0)</f>
        <v>0</v>
      </c>
    </row>
    <row r="173" spans="1:5" x14ac:dyDescent="0.25">
      <c r="A173" t="s">
        <v>273</v>
      </c>
      <c r="B173" t="s">
        <v>48</v>
      </c>
      <c r="C173" s="1">
        <v>45296</v>
      </c>
      <c r="D173" t="s">
        <v>100</v>
      </c>
      <c r="E173" s="3">
        <f>IF(Attendance_Status_Updated[[#This Row],[Attendance_Status]]="Absent",1,0)</f>
        <v>0</v>
      </c>
    </row>
    <row r="174" spans="1:5" x14ac:dyDescent="0.25">
      <c r="A174" t="s">
        <v>274</v>
      </c>
      <c r="B174" t="s">
        <v>50</v>
      </c>
      <c r="C174" s="1">
        <v>45296</v>
      </c>
      <c r="D174" t="s">
        <v>160</v>
      </c>
      <c r="E174" s="3">
        <f>IF(Attendance_Status_Updated[[#This Row],[Attendance_Status]]="Absent",1,0)</f>
        <v>1</v>
      </c>
    </row>
    <row r="175" spans="1:5" x14ac:dyDescent="0.25">
      <c r="A175" t="s">
        <v>275</v>
      </c>
      <c r="B175" t="s">
        <v>51</v>
      </c>
      <c r="C175" s="1">
        <v>45296</v>
      </c>
      <c r="D175" t="s">
        <v>100</v>
      </c>
      <c r="E175" s="3">
        <f>IF(Attendance_Status_Updated[[#This Row],[Attendance_Status]]="Absent",1,0)</f>
        <v>0</v>
      </c>
    </row>
    <row r="176" spans="1:5" x14ac:dyDescent="0.25">
      <c r="A176" t="s">
        <v>276</v>
      </c>
      <c r="B176" t="s">
        <v>53</v>
      </c>
      <c r="C176" s="1">
        <v>45296</v>
      </c>
      <c r="D176" t="s">
        <v>100</v>
      </c>
      <c r="E176" s="3">
        <f>IF(Attendance_Status_Updated[[#This Row],[Attendance_Status]]="Absent",1,0)</f>
        <v>0</v>
      </c>
    </row>
    <row r="177" spans="1:5" x14ac:dyDescent="0.25">
      <c r="A177" t="s">
        <v>277</v>
      </c>
      <c r="B177" t="s">
        <v>54</v>
      </c>
      <c r="C177" s="1">
        <v>45296</v>
      </c>
      <c r="D177" t="s">
        <v>100</v>
      </c>
      <c r="E177" s="3">
        <f>IF(Attendance_Status_Updated[[#This Row],[Attendance_Status]]="Absent",1,0)</f>
        <v>0</v>
      </c>
    </row>
    <row r="178" spans="1:5" x14ac:dyDescent="0.25">
      <c r="A178" t="s">
        <v>278</v>
      </c>
      <c r="B178" t="s">
        <v>55</v>
      </c>
      <c r="C178" s="1">
        <v>45296</v>
      </c>
      <c r="D178" t="s">
        <v>100</v>
      </c>
      <c r="E178" s="3">
        <f>IF(Attendance_Status_Updated[[#This Row],[Attendance_Status]]="Absent",1,0)</f>
        <v>0</v>
      </c>
    </row>
    <row r="179" spans="1:5" x14ac:dyDescent="0.25">
      <c r="A179" t="s">
        <v>279</v>
      </c>
      <c r="B179" t="s">
        <v>58</v>
      </c>
      <c r="C179" s="1">
        <v>45296</v>
      </c>
      <c r="D179" t="s">
        <v>100</v>
      </c>
      <c r="E179" s="3">
        <f>IF(Attendance_Status_Updated[[#This Row],[Attendance_Status]]="Absent",1,0)</f>
        <v>0</v>
      </c>
    </row>
    <row r="180" spans="1:5" x14ac:dyDescent="0.25">
      <c r="A180" t="s">
        <v>280</v>
      </c>
      <c r="B180" t="s">
        <v>59</v>
      </c>
      <c r="C180" s="1">
        <v>45296</v>
      </c>
      <c r="D180" t="s">
        <v>100</v>
      </c>
      <c r="E180" s="3">
        <f>IF(Attendance_Status_Updated[[#This Row],[Attendance_Status]]="Absent",1,0)</f>
        <v>0</v>
      </c>
    </row>
    <row r="181" spans="1:5" x14ac:dyDescent="0.25">
      <c r="A181" t="s">
        <v>281</v>
      </c>
      <c r="B181" t="s">
        <v>60</v>
      </c>
      <c r="C181" s="1">
        <v>45296</v>
      </c>
      <c r="D181" t="s">
        <v>100</v>
      </c>
      <c r="E181" s="3">
        <f>IF(Attendance_Status_Updated[[#This Row],[Attendance_Status]]="Absent",1,0)</f>
        <v>0</v>
      </c>
    </row>
    <row r="182" spans="1:5" x14ac:dyDescent="0.25">
      <c r="A182" t="s">
        <v>282</v>
      </c>
      <c r="B182" t="s">
        <v>61</v>
      </c>
      <c r="C182" s="1">
        <v>45296</v>
      </c>
      <c r="D182" t="s">
        <v>100</v>
      </c>
      <c r="E182" s="3">
        <f>IF(Attendance_Status_Updated[[#This Row],[Attendance_Status]]="Absent",1,0)</f>
        <v>0</v>
      </c>
    </row>
    <row r="183" spans="1:5" x14ac:dyDescent="0.25">
      <c r="A183" t="s">
        <v>283</v>
      </c>
      <c r="B183" t="s">
        <v>62</v>
      </c>
      <c r="C183" s="1">
        <v>45296</v>
      </c>
      <c r="D183" t="s">
        <v>143</v>
      </c>
      <c r="E183" s="3">
        <f>IF(Attendance_Status_Updated[[#This Row],[Attendance_Status]]="Absent",1,0)</f>
        <v>0</v>
      </c>
    </row>
    <row r="184" spans="1:5" x14ac:dyDescent="0.25">
      <c r="A184" t="s">
        <v>284</v>
      </c>
      <c r="B184" t="s">
        <v>63</v>
      </c>
      <c r="C184" s="1">
        <v>45296</v>
      </c>
      <c r="D184" t="s">
        <v>100</v>
      </c>
      <c r="E184" s="3">
        <f>IF(Attendance_Status_Updated[[#This Row],[Attendance_Status]]="Absent",1,0)</f>
        <v>0</v>
      </c>
    </row>
    <row r="185" spans="1:5" x14ac:dyDescent="0.25">
      <c r="A185" t="s">
        <v>285</v>
      </c>
      <c r="B185" t="s">
        <v>64</v>
      </c>
      <c r="C185" s="1">
        <v>45296</v>
      </c>
      <c r="D185" t="s">
        <v>143</v>
      </c>
      <c r="E185" s="3">
        <f>IF(Attendance_Status_Updated[[#This Row],[Attendance_Status]]="Absent",1,0)</f>
        <v>0</v>
      </c>
    </row>
    <row r="186" spans="1:5" x14ac:dyDescent="0.25">
      <c r="A186" t="s">
        <v>286</v>
      </c>
      <c r="B186" t="s">
        <v>65</v>
      </c>
      <c r="C186" s="1">
        <v>45296</v>
      </c>
      <c r="D186" t="s">
        <v>100</v>
      </c>
      <c r="E186" s="3">
        <f>IF(Attendance_Status_Updated[[#This Row],[Attendance_Status]]="Absent",1,0)</f>
        <v>0</v>
      </c>
    </row>
    <row r="187" spans="1:5" x14ac:dyDescent="0.25">
      <c r="A187" t="s">
        <v>287</v>
      </c>
      <c r="B187" t="s">
        <v>66</v>
      </c>
      <c r="C187" s="1">
        <v>45296</v>
      </c>
      <c r="D187" t="s">
        <v>100</v>
      </c>
      <c r="E187" s="3">
        <f>IF(Attendance_Status_Updated[[#This Row],[Attendance_Status]]="Absent",1,0)</f>
        <v>0</v>
      </c>
    </row>
    <row r="188" spans="1:5" x14ac:dyDescent="0.25">
      <c r="A188" t="s">
        <v>288</v>
      </c>
      <c r="B188" t="s">
        <v>67</v>
      </c>
      <c r="C188" s="1">
        <v>45296</v>
      </c>
      <c r="D188" t="s">
        <v>100</v>
      </c>
      <c r="E188" s="3">
        <f>IF(Attendance_Status_Updated[[#This Row],[Attendance_Status]]="Absent",1,0)</f>
        <v>0</v>
      </c>
    </row>
    <row r="189" spans="1:5" x14ac:dyDescent="0.25">
      <c r="A189" t="s">
        <v>289</v>
      </c>
      <c r="B189" t="s">
        <v>68</v>
      </c>
      <c r="C189" s="1">
        <v>45296</v>
      </c>
      <c r="D189" t="s">
        <v>100</v>
      </c>
      <c r="E189" s="3">
        <f>IF(Attendance_Status_Updated[[#This Row],[Attendance_Status]]="Absent",1,0)</f>
        <v>0</v>
      </c>
    </row>
    <row r="190" spans="1:5" x14ac:dyDescent="0.25">
      <c r="A190" t="s">
        <v>290</v>
      </c>
      <c r="B190" t="s">
        <v>69</v>
      </c>
      <c r="C190" s="1">
        <v>45296</v>
      </c>
      <c r="D190" t="s">
        <v>100</v>
      </c>
      <c r="E190" s="3">
        <f>IF(Attendance_Status_Updated[[#This Row],[Attendance_Status]]="Absent",1,0)</f>
        <v>0</v>
      </c>
    </row>
    <row r="191" spans="1:5" x14ac:dyDescent="0.25">
      <c r="A191" t="s">
        <v>291</v>
      </c>
      <c r="B191" t="s">
        <v>70</v>
      </c>
      <c r="C191" s="1">
        <v>45296</v>
      </c>
      <c r="D191" t="s">
        <v>100</v>
      </c>
      <c r="E191" s="3">
        <f>IF(Attendance_Status_Updated[[#This Row],[Attendance_Status]]="Absent",1,0)</f>
        <v>0</v>
      </c>
    </row>
    <row r="192" spans="1:5" x14ac:dyDescent="0.25">
      <c r="A192" t="s">
        <v>292</v>
      </c>
      <c r="B192" t="s">
        <v>71</v>
      </c>
      <c r="C192" s="1">
        <v>45296</v>
      </c>
      <c r="D192" t="s">
        <v>100</v>
      </c>
      <c r="E192" s="3">
        <f>IF(Attendance_Status_Updated[[#This Row],[Attendance_Status]]="Absent",1,0)</f>
        <v>0</v>
      </c>
    </row>
    <row r="193" spans="1:5" x14ac:dyDescent="0.25">
      <c r="A193" t="s">
        <v>293</v>
      </c>
      <c r="B193" t="s">
        <v>72</v>
      </c>
      <c r="C193" s="1">
        <v>45296</v>
      </c>
      <c r="D193" t="s">
        <v>100</v>
      </c>
      <c r="E193" s="3">
        <f>IF(Attendance_Status_Updated[[#This Row],[Attendance_Status]]="Absent",1,0)</f>
        <v>0</v>
      </c>
    </row>
    <row r="194" spans="1:5" x14ac:dyDescent="0.25">
      <c r="A194" t="s">
        <v>294</v>
      </c>
      <c r="B194" t="s">
        <v>73</v>
      </c>
      <c r="C194" s="1">
        <v>45296</v>
      </c>
      <c r="D194" t="s">
        <v>100</v>
      </c>
      <c r="E194" s="3">
        <f>IF(Attendance_Status_Updated[[#This Row],[Attendance_Status]]="Absent",1,0)</f>
        <v>0</v>
      </c>
    </row>
    <row r="195" spans="1:5" x14ac:dyDescent="0.25">
      <c r="A195" t="s">
        <v>295</v>
      </c>
      <c r="B195" t="s">
        <v>75</v>
      </c>
      <c r="C195" s="1">
        <v>45296</v>
      </c>
      <c r="D195" t="s">
        <v>100</v>
      </c>
      <c r="E195" s="3">
        <f>IF(Attendance_Status_Updated[[#This Row],[Attendance_Status]]="Absent",1,0)</f>
        <v>0</v>
      </c>
    </row>
    <row r="196" spans="1:5" x14ac:dyDescent="0.25">
      <c r="A196" t="s">
        <v>296</v>
      </c>
      <c r="B196" t="s">
        <v>76</v>
      </c>
      <c r="C196" s="1">
        <v>45296</v>
      </c>
      <c r="D196" t="s">
        <v>100</v>
      </c>
      <c r="E196" s="3">
        <f>IF(Attendance_Status_Updated[[#This Row],[Attendance_Status]]="Absent",1,0)</f>
        <v>0</v>
      </c>
    </row>
    <row r="197" spans="1:5" x14ac:dyDescent="0.25">
      <c r="A197" t="s">
        <v>297</v>
      </c>
      <c r="B197" t="s">
        <v>77</v>
      </c>
      <c r="C197" s="1">
        <v>45296</v>
      </c>
      <c r="D197" t="s">
        <v>100</v>
      </c>
      <c r="E197" s="3">
        <f>IF(Attendance_Status_Updated[[#This Row],[Attendance_Status]]="Absent",1,0)</f>
        <v>0</v>
      </c>
    </row>
    <row r="198" spans="1:5" x14ac:dyDescent="0.25">
      <c r="A198" t="s">
        <v>298</v>
      </c>
      <c r="B198" t="s">
        <v>78</v>
      </c>
      <c r="C198" s="1">
        <v>45296</v>
      </c>
      <c r="D198" t="s">
        <v>100</v>
      </c>
      <c r="E198" s="3">
        <f>IF(Attendance_Status_Updated[[#This Row],[Attendance_Status]]="Absent",1,0)</f>
        <v>0</v>
      </c>
    </row>
    <row r="199" spans="1:5" x14ac:dyDescent="0.25">
      <c r="A199" t="s">
        <v>299</v>
      </c>
      <c r="B199" t="s">
        <v>79</v>
      </c>
      <c r="C199" s="1">
        <v>45296</v>
      </c>
      <c r="D199" t="s">
        <v>100</v>
      </c>
      <c r="E199" s="3">
        <f>IF(Attendance_Status_Updated[[#This Row],[Attendance_Status]]="Absent",1,0)</f>
        <v>0</v>
      </c>
    </row>
    <row r="200" spans="1:5" x14ac:dyDescent="0.25">
      <c r="A200" t="s">
        <v>300</v>
      </c>
      <c r="B200" t="s">
        <v>80</v>
      </c>
      <c r="C200" s="1">
        <v>45296</v>
      </c>
      <c r="D200" t="s">
        <v>100</v>
      </c>
      <c r="E200" s="3">
        <f>IF(Attendance_Status_Updated[[#This Row],[Attendance_Status]]="Absent",1,0)</f>
        <v>0</v>
      </c>
    </row>
    <row r="201" spans="1:5" x14ac:dyDescent="0.25">
      <c r="A201" t="s">
        <v>301</v>
      </c>
      <c r="B201" t="s">
        <v>81</v>
      </c>
      <c r="C201" s="1">
        <v>45296</v>
      </c>
      <c r="D201" t="s">
        <v>143</v>
      </c>
      <c r="E201" s="3">
        <f>IF(Attendance_Status_Updated[[#This Row],[Attendance_Status]]="Absent",1,0)</f>
        <v>0</v>
      </c>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71B1-6D88-4A63-A9BC-1CF5A0D8B654}">
  <dimension ref="A1:J41"/>
  <sheetViews>
    <sheetView workbookViewId="0">
      <selection activeCell="G2" sqref="G2:G41"/>
    </sheetView>
  </sheetViews>
  <sheetFormatPr defaultRowHeight="15" x14ac:dyDescent="0.25"/>
  <cols>
    <col min="1" max="1" width="10" bestFit="1" customWidth="1"/>
    <col min="2" max="2" width="14.42578125" bestFit="1" customWidth="1"/>
    <col min="3" max="3" width="17.7109375" bestFit="1" customWidth="1"/>
    <col min="4" max="4" width="20.5703125" bestFit="1" customWidth="1"/>
    <col min="5" max="5" width="23.85546875" bestFit="1" customWidth="1"/>
    <col min="6" max="6" width="25.28515625" style="18" bestFit="1" customWidth="1"/>
    <col min="7" max="7" width="13.42578125" style="18" bestFit="1" customWidth="1"/>
    <col min="8" max="8" width="21.42578125" bestFit="1" customWidth="1"/>
    <col min="9" max="9" width="22.140625" style="3" bestFit="1" customWidth="1"/>
    <col min="10" max="10" width="11.140625" bestFit="1" customWidth="1"/>
  </cols>
  <sheetData>
    <row r="1" spans="1:10" x14ac:dyDescent="0.25">
      <c r="A1" t="s">
        <v>0</v>
      </c>
      <c r="B1" t="s">
        <v>316</v>
      </c>
      <c r="C1" t="s">
        <v>317</v>
      </c>
      <c r="D1" t="s">
        <v>318</v>
      </c>
      <c r="E1" t="s">
        <v>319</v>
      </c>
      <c r="F1" s="18" t="s">
        <v>549</v>
      </c>
      <c r="G1" s="18" t="s">
        <v>548</v>
      </c>
      <c r="H1" t="s">
        <v>320</v>
      </c>
      <c r="I1" s="3" t="s">
        <v>487</v>
      </c>
      <c r="J1" t="s">
        <v>480</v>
      </c>
    </row>
    <row r="2" spans="1:10" x14ac:dyDescent="0.25">
      <c r="A2" t="s">
        <v>11</v>
      </c>
      <c r="B2" s="1">
        <v>45352</v>
      </c>
      <c r="C2">
        <v>3</v>
      </c>
      <c r="D2">
        <v>5</v>
      </c>
      <c r="E2">
        <v>2</v>
      </c>
      <c r="F2" s="18">
        <f>Engagement_Pulse_Survey[[#This Row],[Job_Satisfaction]]+Engagement_Pulse_Survey[[#This Row],[Work_Life_Balance]]+Engagement_Pulse_Survey[[#This Row],[Growth_Opportunities]]</f>
        <v>10</v>
      </c>
      <c r="G2" s="13">
        <f>Engagement_Pulse_Survey[[#This Row],[Employee satisfaction]]*10/100</f>
        <v>1</v>
      </c>
      <c r="H2">
        <v>1</v>
      </c>
      <c r="I2" s="3">
        <f>AVERAGE(Engagement_Pulse_Survey[[#This Row],[Job_Satisfaction]]+Engagement_Pulse_Survey[[#This Row],[Work_Life_Balance]]+Engagement_Pulse_Survey[[#This Row],[Growth_Opportunities]]+Engagement_Pulse_Survey[[#This Row],[Team_Collaboration]])</f>
        <v>11</v>
      </c>
      <c r="J2">
        <f>Engagement_Pulse_Survey[[#This Row],[Engagement Score]]/4</f>
        <v>2.75</v>
      </c>
    </row>
    <row r="3" spans="1:10" x14ac:dyDescent="0.25">
      <c r="A3" t="s">
        <v>19</v>
      </c>
      <c r="B3" s="1">
        <v>45352</v>
      </c>
      <c r="C3">
        <v>4</v>
      </c>
      <c r="D3">
        <v>1</v>
      </c>
      <c r="E3">
        <v>3</v>
      </c>
      <c r="F3" s="18">
        <f>Engagement_Pulse_Survey[[#This Row],[Job_Satisfaction]]+Engagement_Pulse_Survey[[#This Row],[Work_Life_Balance]]+Engagement_Pulse_Survey[[#This Row],[Growth_Opportunities]]</f>
        <v>8</v>
      </c>
      <c r="G3" s="13">
        <f>Engagement_Pulse_Survey[[#This Row],[Employee satisfaction]]*10/100</f>
        <v>0.8</v>
      </c>
      <c r="H3">
        <v>3</v>
      </c>
      <c r="I3" s="3">
        <f>AVERAGE(Engagement_Pulse_Survey[[#This Row],[Job_Satisfaction]]+Engagement_Pulse_Survey[[#This Row],[Work_Life_Balance]]+Engagement_Pulse_Survey[[#This Row],[Growth_Opportunities]]+Engagement_Pulse_Survey[[#This Row],[Team_Collaboration]])</f>
        <v>11</v>
      </c>
      <c r="J3">
        <f>Engagement_Pulse_Survey[[#This Row],[Engagement Score]]/4</f>
        <v>2.75</v>
      </c>
    </row>
    <row r="4" spans="1:10" x14ac:dyDescent="0.25">
      <c r="A4" t="s">
        <v>24</v>
      </c>
      <c r="B4" s="1">
        <v>45352</v>
      </c>
      <c r="C4">
        <v>4</v>
      </c>
      <c r="D4">
        <v>5</v>
      </c>
      <c r="E4">
        <v>2</v>
      </c>
      <c r="F4" s="18">
        <f>Engagement_Pulse_Survey[[#This Row],[Job_Satisfaction]]+Engagement_Pulse_Survey[[#This Row],[Work_Life_Balance]]+Engagement_Pulse_Survey[[#This Row],[Growth_Opportunities]]</f>
        <v>11</v>
      </c>
      <c r="G4" s="13">
        <f>Engagement_Pulse_Survey[[#This Row],[Employee satisfaction]]*10/100</f>
        <v>1.1000000000000001</v>
      </c>
      <c r="H4">
        <v>5</v>
      </c>
      <c r="I4" s="3">
        <f>AVERAGE(Engagement_Pulse_Survey[[#This Row],[Job_Satisfaction]]+Engagement_Pulse_Survey[[#This Row],[Work_Life_Balance]]+Engagement_Pulse_Survey[[#This Row],[Growth_Opportunities]]+Engagement_Pulse_Survey[[#This Row],[Team_Collaboration]])</f>
        <v>16</v>
      </c>
      <c r="J4">
        <f>Engagement_Pulse_Survey[[#This Row],[Engagement Score]]/4</f>
        <v>4</v>
      </c>
    </row>
    <row r="5" spans="1:10" x14ac:dyDescent="0.25">
      <c r="A5" t="s">
        <v>28</v>
      </c>
      <c r="B5" s="1">
        <v>45352</v>
      </c>
      <c r="C5">
        <v>5</v>
      </c>
      <c r="D5">
        <v>1</v>
      </c>
      <c r="E5">
        <v>2</v>
      </c>
      <c r="F5" s="18">
        <f>Engagement_Pulse_Survey[[#This Row],[Job_Satisfaction]]+Engagement_Pulse_Survey[[#This Row],[Work_Life_Balance]]+Engagement_Pulse_Survey[[#This Row],[Growth_Opportunities]]</f>
        <v>8</v>
      </c>
      <c r="G5" s="13">
        <f>Engagement_Pulse_Survey[[#This Row],[Employee satisfaction]]*10/100</f>
        <v>0.8</v>
      </c>
      <c r="H5">
        <v>3</v>
      </c>
      <c r="I5" s="3">
        <f>AVERAGE(Engagement_Pulse_Survey[[#This Row],[Job_Satisfaction]]+Engagement_Pulse_Survey[[#This Row],[Work_Life_Balance]]+Engagement_Pulse_Survey[[#This Row],[Growth_Opportunities]]+Engagement_Pulse_Survey[[#This Row],[Team_Collaboration]])</f>
        <v>11</v>
      </c>
      <c r="J5">
        <f>Engagement_Pulse_Survey[[#This Row],[Engagement Score]]/4</f>
        <v>2.75</v>
      </c>
    </row>
    <row r="6" spans="1:10" x14ac:dyDescent="0.25">
      <c r="A6" t="s">
        <v>30</v>
      </c>
      <c r="B6" s="1">
        <v>45352</v>
      </c>
      <c r="C6">
        <v>1</v>
      </c>
      <c r="D6">
        <v>2</v>
      </c>
      <c r="E6">
        <v>3</v>
      </c>
      <c r="F6" s="18">
        <f>Engagement_Pulse_Survey[[#This Row],[Job_Satisfaction]]+Engagement_Pulse_Survey[[#This Row],[Work_Life_Balance]]+Engagement_Pulse_Survey[[#This Row],[Growth_Opportunities]]</f>
        <v>6</v>
      </c>
      <c r="G6" s="13">
        <f>Engagement_Pulse_Survey[[#This Row],[Employee satisfaction]]*10/100</f>
        <v>0.6</v>
      </c>
      <c r="H6">
        <v>4</v>
      </c>
      <c r="I6" s="3">
        <f>AVERAGE(Engagement_Pulse_Survey[[#This Row],[Job_Satisfaction]]+Engagement_Pulse_Survey[[#This Row],[Work_Life_Balance]]+Engagement_Pulse_Survey[[#This Row],[Growth_Opportunities]]+Engagement_Pulse_Survey[[#This Row],[Team_Collaboration]])</f>
        <v>10</v>
      </c>
      <c r="J6">
        <f>Engagement_Pulse_Survey[[#This Row],[Engagement Score]]/4</f>
        <v>2.5</v>
      </c>
    </row>
    <row r="7" spans="1:10" x14ac:dyDescent="0.25">
      <c r="A7" t="s">
        <v>33</v>
      </c>
      <c r="B7" s="1">
        <v>45352</v>
      </c>
      <c r="C7">
        <v>4</v>
      </c>
      <c r="D7">
        <v>3</v>
      </c>
      <c r="E7">
        <v>3</v>
      </c>
      <c r="F7" s="18">
        <f>Engagement_Pulse_Survey[[#This Row],[Job_Satisfaction]]+Engagement_Pulse_Survey[[#This Row],[Work_Life_Balance]]+Engagement_Pulse_Survey[[#This Row],[Growth_Opportunities]]</f>
        <v>10</v>
      </c>
      <c r="G7" s="13">
        <f>Engagement_Pulse_Survey[[#This Row],[Employee satisfaction]]*10/100</f>
        <v>1</v>
      </c>
      <c r="H7">
        <v>3</v>
      </c>
      <c r="I7" s="3">
        <f>AVERAGE(Engagement_Pulse_Survey[[#This Row],[Job_Satisfaction]]+Engagement_Pulse_Survey[[#This Row],[Work_Life_Balance]]+Engagement_Pulse_Survey[[#This Row],[Growth_Opportunities]]+Engagement_Pulse_Survey[[#This Row],[Team_Collaboration]])</f>
        <v>13</v>
      </c>
      <c r="J7">
        <f>Engagement_Pulse_Survey[[#This Row],[Engagement Score]]/4</f>
        <v>3.25</v>
      </c>
    </row>
    <row r="8" spans="1:10" x14ac:dyDescent="0.25">
      <c r="A8" t="s">
        <v>37</v>
      </c>
      <c r="B8" s="1">
        <v>45352</v>
      </c>
      <c r="C8">
        <v>5</v>
      </c>
      <c r="D8">
        <v>2</v>
      </c>
      <c r="E8">
        <v>4</v>
      </c>
      <c r="F8" s="18">
        <f>Engagement_Pulse_Survey[[#This Row],[Job_Satisfaction]]+Engagement_Pulse_Survey[[#This Row],[Work_Life_Balance]]+Engagement_Pulse_Survey[[#This Row],[Growth_Opportunities]]</f>
        <v>11</v>
      </c>
      <c r="G8" s="13">
        <f>Engagement_Pulse_Survey[[#This Row],[Employee satisfaction]]*10/100</f>
        <v>1.1000000000000001</v>
      </c>
      <c r="H8">
        <v>1</v>
      </c>
      <c r="I8" s="3">
        <f>AVERAGE(Engagement_Pulse_Survey[[#This Row],[Job_Satisfaction]]+Engagement_Pulse_Survey[[#This Row],[Work_Life_Balance]]+Engagement_Pulse_Survey[[#This Row],[Growth_Opportunities]]+Engagement_Pulse_Survey[[#This Row],[Team_Collaboration]])</f>
        <v>12</v>
      </c>
      <c r="J8">
        <f>Engagement_Pulse_Survey[[#This Row],[Engagement Score]]/4</f>
        <v>3</v>
      </c>
    </row>
    <row r="9" spans="1:10" x14ac:dyDescent="0.25">
      <c r="A9" t="s">
        <v>39</v>
      </c>
      <c r="B9" s="1">
        <v>45352</v>
      </c>
      <c r="C9">
        <v>2</v>
      </c>
      <c r="D9">
        <v>1</v>
      </c>
      <c r="E9">
        <v>4</v>
      </c>
      <c r="F9" s="18">
        <f>Engagement_Pulse_Survey[[#This Row],[Job_Satisfaction]]+Engagement_Pulse_Survey[[#This Row],[Work_Life_Balance]]+Engagement_Pulse_Survey[[#This Row],[Growth_Opportunities]]</f>
        <v>7</v>
      </c>
      <c r="G9" s="13">
        <f>Engagement_Pulse_Survey[[#This Row],[Employee satisfaction]]*10/100</f>
        <v>0.7</v>
      </c>
      <c r="H9">
        <v>5</v>
      </c>
      <c r="I9" s="3">
        <f>AVERAGE(Engagement_Pulse_Survey[[#This Row],[Job_Satisfaction]]+Engagement_Pulse_Survey[[#This Row],[Work_Life_Balance]]+Engagement_Pulse_Survey[[#This Row],[Growth_Opportunities]]+Engagement_Pulse_Survey[[#This Row],[Team_Collaboration]])</f>
        <v>12</v>
      </c>
      <c r="J9">
        <f>Engagement_Pulse_Survey[[#This Row],[Engagement Score]]/4</f>
        <v>3</v>
      </c>
    </row>
    <row r="10" spans="1:10" x14ac:dyDescent="0.25">
      <c r="A10" t="s">
        <v>42</v>
      </c>
      <c r="B10" s="1">
        <v>45352</v>
      </c>
      <c r="C10">
        <v>3</v>
      </c>
      <c r="D10">
        <v>3</v>
      </c>
      <c r="E10">
        <v>2</v>
      </c>
      <c r="F10" s="18">
        <f>Engagement_Pulse_Survey[[#This Row],[Job_Satisfaction]]+Engagement_Pulse_Survey[[#This Row],[Work_Life_Balance]]+Engagement_Pulse_Survey[[#This Row],[Growth_Opportunities]]</f>
        <v>8</v>
      </c>
      <c r="G10" s="13">
        <f>Engagement_Pulse_Survey[[#This Row],[Employee satisfaction]]*10/100</f>
        <v>0.8</v>
      </c>
      <c r="H10">
        <v>1</v>
      </c>
      <c r="I10" s="3">
        <f>AVERAGE(Engagement_Pulse_Survey[[#This Row],[Job_Satisfaction]]+Engagement_Pulse_Survey[[#This Row],[Work_Life_Balance]]+Engagement_Pulse_Survey[[#This Row],[Growth_Opportunities]]+Engagement_Pulse_Survey[[#This Row],[Team_Collaboration]])</f>
        <v>9</v>
      </c>
      <c r="J10">
        <f>Engagement_Pulse_Survey[[#This Row],[Engagement Score]]/4</f>
        <v>2.25</v>
      </c>
    </row>
    <row r="11" spans="1:10" x14ac:dyDescent="0.25">
      <c r="A11" t="s">
        <v>45</v>
      </c>
      <c r="B11" s="1">
        <v>45352</v>
      </c>
      <c r="C11">
        <v>1</v>
      </c>
      <c r="D11">
        <v>5</v>
      </c>
      <c r="E11">
        <v>3</v>
      </c>
      <c r="F11" s="18">
        <f>Engagement_Pulse_Survey[[#This Row],[Job_Satisfaction]]+Engagement_Pulse_Survey[[#This Row],[Work_Life_Balance]]+Engagement_Pulse_Survey[[#This Row],[Growth_Opportunities]]</f>
        <v>9</v>
      </c>
      <c r="G11" s="13">
        <f>Engagement_Pulse_Survey[[#This Row],[Employee satisfaction]]*10/100</f>
        <v>0.9</v>
      </c>
      <c r="H11">
        <v>5</v>
      </c>
      <c r="I11" s="3">
        <f>AVERAGE(Engagement_Pulse_Survey[[#This Row],[Job_Satisfaction]]+Engagement_Pulse_Survey[[#This Row],[Work_Life_Balance]]+Engagement_Pulse_Survey[[#This Row],[Growth_Opportunities]]+Engagement_Pulse_Survey[[#This Row],[Team_Collaboration]])</f>
        <v>14</v>
      </c>
      <c r="J11">
        <f>Engagement_Pulse_Survey[[#This Row],[Engagement Score]]/4</f>
        <v>3.5</v>
      </c>
    </row>
    <row r="12" spans="1:10" x14ac:dyDescent="0.25">
      <c r="A12" t="s">
        <v>47</v>
      </c>
      <c r="B12" s="1">
        <v>45352</v>
      </c>
      <c r="C12">
        <v>4</v>
      </c>
      <c r="D12">
        <v>5</v>
      </c>
      <c r="E12">
        <v>3</v>
      </c>
      <c r="F12" s="18">
        <f>Engagement_Pulse_Survey[[#This Row],[Job_Satisfaction]]+Engagement_Pulse_Survey[[#This Row],[Work_Life_Balance]]+Engagement_Pulse_Survey[[#This Row],[Growth_Opportunities]]</f>
        <v>12</v>
      </c>
      <c r="G12" s="13">
        <f>Engagement_Pulse_Survey[[#This Row],[Employee satisfaction]]*10/100</f>
        <v>1.2</v>
      </c>
      <c r="H12">
        <v>4</v>
      </c>
      <c r="I12" s="3">
        <f>AVERAGE(Engagement_Pulse_Survey[[#This Row],[Job_Satisfaction]]+Engagement_Pulse_Survey[[#This Row],[Work_Life_Balance]]+Engagement_Pulse_Survey[[#This Row],[Growth_Opportunities]]+Engagement_Pulse_Survey[[#This Row],[Team_Collaboration]])</f>
        <v>16</v>
      </c>
      <c r="J12">
        <f>Engagement_Pulse_Survey[[#This Row],[Engagement Score]]/4</f>
        <v>4</v>
      </c>
    </row>
    <row r="13" spans="1:10" x14ac:dyDescent="0.25">
      <c r="A13" t="s">
        <v>48</v>
      </c>
      <c r="B13" s="1">
        <v>45352</v>
      </c>
      <c r="C13">
        <v>1</v>
      </c>
      <c r="D13">
        <v>5</v>
      </c>
      <c r="E13">
        <v>1</v>
      </c>
      <c r="F13" s="18">
        <f>Engagement_Pulse_Survey[[#This Row],[Job_Satisfaction]]+Engagement_Pulse_Survey[[#This Row],[Work_Life_Balance]]+Engagement_Pulse_Survey[[#This Row],[Growth_Opportunities]]</f>
        <v>7</v>
      </c>
      <c r="G13" s="13">
        <f>Engagement_Pulse_Survey[[#This Row],[Employee satisfaction]]*10/100</f>
        <v>0.7</v>
      </c>
      <c r="H13">
        <v>4</v>
      </c>
      <c r="I13" s="3">
        <f>AVERAGE(Engagement_Pulse_Survey[[#This Row],[Job_Satisfaction]]+Engagement_Pulse_Survey[[#This Row],[Work_Life_Balance]]+Engagement_Pulse_Survey[[#This Row],[Growth_Opportunities]]+Engagement_Pulse_Survey[[#This Row],[Team_Collaboration]])</f>
        <v>11</v>
      </c>
      <c r="J13">
        <f>Engagement_Pulse_Survey[[#This Row],[Engagement Score]]/4</f>
        <v>2.75</v>
      </c>
    </row>
    <row r="14" spans="1:10" x14ac:dyDescent="0.25">
      <c r="A14" t="s">
        <v>50</v>
      </c>
      <c r="B14" s="1">
        <v>45352</v>
      </c>
      <c r="C14">
        <v>1</v>
      </c>
      <c r="D14">
        <v>5</v>
      </c>
      <c r="E14">
        <v>3</v>
      </c>
      <c r="F14" s="18">
        <f>Engagement_Pulse_Survey[[#This Row],[Job_Satisfaction]]+Engagement_Pulse_Survey[[#This Row],[Work_Life_Balance]]+Engagement_Pulse_Survey[[#This Row],[Growth_Opportunities]]</f>
        <v>9</v>
      </c>
      <c r="G14" s="13">
        <f>Engagement_Pulse_Survey[[#This Row],[Employee satisfaction]]*10/100</f>
        <v>0.9</v>
      </c>
      <c r="H14">
        <v>5</v>
      </c>
      <c r="I14" s="3">
        <f>AVERAGE(Engagement_Pulse_Survey[[#This Row],[Job_Satisfaction]]+Engagement_Pulse_Survey[[#This Row],[Work_Life_Balance]]+Engagement_Pulse_Survey[[#This Row],[Growth_Opportunities]]+Engagement_Pulse_Survey[[#This Row],[Team_Collaboration]])</f>
        <v>14</v>
      </c>
      <c r="J14">
        <f>Engagement_Pulse_Survey[[#This Row],[Engagement Score]]/4</f>
        <v>3.5</v>
      </c>
    </row>
    <row r="15" spans="1:10" x14ac:dyDescent="0.25">
      <c r="A15" t="s">
        <v>51</v>
      </c>
      <c r="B15" s="1">
        <v>45352</v>
      </c>
      <c r="C15">
        <v>4</v>
      </c>
      <c r="D15">
        <v>2</v>
      </c>
      <c r="E15">
        <v>2</v>
      </c>
      <c r="F15" s="18">
        <f>Engagement_Pulse_Survey[[#This Row],[Job_Satisfaction]]+Engagement_Pulse_Survey[[#This Row],[Work_Life_Balance]]+Engagement_Pulse_Survey[[#This Row],[Growth_Opportunities]]</f>
        <v>8</v>
      </c>
      <c r="G15" s="13">
        <f>Engagement_Pulse_Survey[[#This Row],[Employee satisfaction]]*10/100</f>
        <v>0.8</v>
      </c>
      <c r="H15">
        <v>3</v>
      </c>
      <c r="I15" s="3">
        <f>AVERAGE(Engagement_Pulse_Survey[[#This Row],[Job_Satisfaction]]+Engagement_Pulse_Survey[[#This Row],[Work_Life_Balance]]+Engagement_Pulse_Survey[[#This Row],[Growth_Opportunities]]+Engagement_Pulse_Survey[[#This Row],[Team_Collaboration]])</f>
        <v>11</v>
      </c>
      <c r="J15">
        <f>Engagement_Pulse_Survey[[#This Row],[Engagement Score]]/4</f>
        <v>2.75</v>
      </c>
    </row>
    <row r="16" spans="1:10" x14ac:dyDescent="0.25">
      <c r="A16" t="s">
        <v>53</v>
      </c>
      <c r="B16" s="1">
        <v>45352</v>
      </c>
      <c r="C16">
        <v>4</v>
      </c>
      <c r="D16">
        <v>2</v>
      </c>
      <c r="E16">
        <v>2</v>
      </c>
      <c r="F16" s="18">
        <f>Engagement_Pulse_Survey[[#This Row],[Job_Satisfaction]]+Engagement_Pulse_Survey[[#This Row],[Work_Life_Balance]]+Engagement_Pulse_Survey[[#This Row],[Growth_Opportunities]]</f>
        <v>8</v>
      </c>
      <c r="G16" s="13">
        <f>Engagement_Pulse_Survey[[#This Row],[Employee satisfaction]]*10/100</f>
        <v>0.8</v>
      </c>
      <c r="H16">
        <v>5</v>
      </c>
      <c r="I16" s="3">
        <f>AVERAGE(Engagement_Pulse_Survey[[#This Row],[Job_Satisfaction]]+Engagement_Pulse_Survey[[#This Row],[Work_Life_Balance]]+Engagement_Pulse_Survey[[#This Row],[Growth_Opportunities]]+Engagement_Pulse_Survey[[#This Row],[Team_Collaboration]])</f>
        <v>13</v>
      </c>
      <c r="J16">
        <f>Engagement_Pulse_Survey[[#This Row],[Engagement Score]]/4</f>
        <v>3.25</v>
      </c>
    </row>
    <row r="17" spans="1:10" x14ac:dyDescent="0.25">
      <c r="A17" t="s">
        <v>54</v>
      </c>
      <c r="B17" s="1">
        <v>45352</v>
      </c>
      <c r="C17">
        <v>1</v>
      </c>
      <c r="D17">
        <v>5</v>
      </c>
      <c r="E17">
        <v>1</v>
      </c>
      <c r="F17" s="18">
        <f>Engagement_Pulse_Survey[[#This Row],[Job_Satisfaction]]+Engagement_Pulse_Survey[[#This Row],[Work_Life_Balance]]+Engagement_Pulse_Survey[[#This Row],[Growth_Opportunities]]</f>
        <v>7</v>
      </c>
      <c r="G17" s="13">
        <f>Engagement_Pulse_Survey[[#This Row],[Employee satisfaction]]*10/100</f>
        <v>0.7</v>
      </c>
      <c r="H17">
        <v>5</v>
      </c>
      <c r="I17" s="3">
        <f>AVERAGE(Engagement_Pulse_Survey[[#This Row],[Job_Satisfaction]]+Engagement_Pulse_Survey[[#This Row],[Work_Life_Balance]]+Engagement_Pulse_Survey[[#This Row],[Growth_Opportunities]]+Engagement_Pulse_Survey[[#This Row],[Team_Collaboration]])</f>
        <v>12</v>
      </c>
      <c r="J17">
        <f>Engagement_Pulse_Survey[[#This Row],[Engagement Score]]/4</f>
        <v>3</v>
      </c>
    </row>
    <row r="18" spans="1:10" x14ac:dyDescent="0.25">
      <c r="A18" t="s">
        <v>55</v>
      </c>
      <c r="B18" s="1">
        <v>45352</v>
      </c>
      <c r="C18">
        <v>4</v>
      </c>
      <c r="D18">
        <v>4</v>
      </c>
      <c r="E18">
        <v>1</v>
      </c>
      <c r="F18" s="18">
        <f>Engagement_Pulse_Survey[[#This Row],[Job_Satisfaction]]+Engagement_Pulse_Survey[[#This Row],[Work_Life_Balance]]+Engagement_Pulse_Survey[[#This Row],[Growth_Opportunities]]</f>
        <v>9</v>
      </c>
      <c r="G18" s="13">
        <f>Engagement_Pulse_Survey[[#This Row],[Employee satisfaction]]*10/100</f>
        <v>0.9</v>
      </c>
      <c r="H18">
        <v>1</v>
      </c>
      <c r="I18" s="3">
        <f>AVERAGE(Engagement_Pulse_Survey[[#This Row],[Job_Satisfaction]]+Engagement_Pulse_Survey[[#This Row],[Work_Life_Balance]]+Engagement_Pulse_Survey[[#This Row],[Growth_Opportunities]]+Engagement_Pulse_Survey[[#This Row],[Team_Collaboration]])</f>
        <v>10</v>
      </c>
      <c r="J18">
        <f>Engagement_Pulse_Survey[[#This Row],[Engagement Score]]/4</f>
        <v>2.5</v>
      </c>
    </row>
    <row r="19" spans="1:10" x14ac:dyDescent="0.25">
      <c r="A19" t="s">
        <v>58</v>
      </c>
      <c r="B19" s="1">
        <v>45352</v>
      </c>
      <c r="C19">
        <v>3</v>
      </c>
      <c r="D19">
        <v>5</v>
      </c>
      <c r="E19">
        <v>3</v>
      </c>
      <c r="F19" s="18">
        <f>Engagement_Pulse_Survey[[#This Row],[Job_Satisfaction]]+Engagement_Pulse_Survey[[#This Row],[Work_Life_Balance]]+Engagement_Pulse_Survey[[#This Row],[Growth_Opportunities]]</f>
        <v>11</v>
      </c>
      <c r="G19" s="13">
        <f>Engagement_Pulse_Survey[[#This Row],[Employee satisfaction]]*10/100</f>
        <v>1.1000000000000001</v>
      </c>
      <c r="H19">
        <v>4</v>
      </c>
      <c r="I19" s="3">
        <f>AVERAGE(Engagement_Pulse_Survey[[#This Row],[Job_Satisfaction]]+Engagement_Pulse_Survey[[#This Row],[Work_Life_Balance]]+Engagement_Pulse_Survey[[#This Row],[Growth_Opportunities]]+Engagement_Pulse_Survey[[#This Row],[Team_Collaboration]])</f>
        <v>15</v>
      </c>
      <c r="J19">
        <f>Engagement_Pulse_Survey[[#This Row],[Engagement Score]]/4</f>
        <v>3.75</v>
      </c>
    </row>
    <row r="20" spans="1:10" x14ac:dyDescent="0.25">
      <c r="A20" t="s">
        <v>59</v>
      </c>
      <c r="B20" s="1">
        <v>45352</v>
      </c>
      <c r="C20">
        <v>4</v>
      </c>
      <c r="D20">
        <v>2</v>
      </c>
      <c r="E20">
        <v>5</v>
      </c>
      <c r="F20" s="18">
        <f>Engagement_Pulse_Survey[[#This Row],[Job_Satisfaction]]+Engagement_Pulse_Survey[[#This Row],[Work_Life_Balance]]+Engagement_Pulse_Survey[[#This Row],[Growth_Opportunities]]</f>
        <v>11</v>
      </c>
      <c r="G20" s="13">
        <f>Engagement_Pulse_Survey[[#This Row],[Employee satisfaction]]*10/100</f>
        <v>1.1000000000000001</v>
      </c>
      <c r="H20">
        <v>3</v>
      </c>
      <c r="I20" s="3">
        <f>AVERAGE(Engagement_Pulse_Survey[[#This Row],[Job_Satisfaction]]+Engagement_Pulse_Survey[[#This Row],[Work_Life_Balance]]+Engagement_Pulse_Survey[[#This Row],[Growth_Opportunities]]+Engagement_Pulse_Survey[[#This Row],[Team_Collaboration]])</f>
        <v>14</v>
      </c>
      <c r="J20">
        <f>Engagement_Pulse_Survey[[#This Row],[Engagement Score]]/4</f>
        <v>3.5</v>
      </c>
    </row>
    <row r="21" spans="1:10" x14ac:dyDescent="0.25">
      <c r="A21" t="s">
        <v>60</v>
      </c>
      <c r="B21" s="1">
        <v>45352</v>
      </c>
      <c r="C21">
        <v>1</v>
      </c>
      <c r="D21">
        <v>4</v>
      </c>
      <c r="E21">
        <v>5</v>
      </c>
      <c r="F21" s="18">
        <f>Engagement_Pulse_Survey[[#This Row],[Job_Satisfaction]]+Engagement_Pulse_Survey[[#This Row],[Work_Life_Balance]]+Engagement_Pulse_Survey[[#This Row],[Growth_Opportunities]]</f>
        <v>10</v>
      </c>
      <c r="G21" s="13">
        <f>Engagement_Pulse_Survey[[#This Row],[Employee satisfaction]]*10/100</f>
        <v>1</v>
      </c>
      <c r="H21">
        <v>2</v>
      </c>
      <c r="I21" s="3">
        <f>AVERAGE(Engagement_Pulse_Survey[[#This Row],[Job_Satisfaction]]+Engagement_Pulse_Survey[[#This Row],[Work_Life_Balance]]+Engagement_Pulse_Survey[[#This Row],[Growth_Opportunities]]+Engagement_Pulse_Survey[[#This Row],[Team_Collaboration]])</f>
        <v>12</v>
      </c>
      <c r="J21">
        <f>Engagement_Pulse_Survey[[#This Row],[Engagement Score]]/4</f>
        <v>3</v>
      </c>
    </row>
    <row r="22" spans="1:10" x14ac:dyDescent="0.25">
      <c r="A22" t="s">
        <v>61</v>
      </c>
      <c r="B22" s="1">
        <v>45352</v>
      </c>
      <c r="C22">
        <v>5</v>
      </c>
      <c r="D22">
        <v>3</v>
      </c>
      <c r="E22">
        <v>5</v>
      </c>
      <c r="F22" s="18">
        <f>Engagement_Pulse_Survey[[#This Row],[Job_Satisfaction]]+Engagement_Pulse_Survey[[#This Row],[Work_Life_Balance]]+Engagement_Pulse_Survey[[#This Row],[Growth_Opportunities]]</f>
        <v>13</v>
      </c>
      <c r="G22" s="13">
        <f>Engagement_Pulse_Survey[[#This Row],[Employee satisfaction]]*10/100</f>
        <v>1.3</v>
      </c>
      <c r="H22">
        <v>2</v>
      </c>
      <c r="I22" s="3">
        <f>AVERAGE(Engagement_Pulse_Survey[[#This Row],[Job_Satisfaction]]+Engagement_Pulse_Survey[[#This Row],[Work_Life_Balance]]+Engagement_Pulse_Survey[[#This Row],[Growth_Opportunities]]+Engagement_Pulse_Survey[[#This Row],[Team_Collaboration]])</f>
        <v>15</v>
      </c>
      <c r="J22">
        <f>Engagement_Pulse_Survey[[#This Row],[Engagement Score]]/4</f>
        <v>3.75</v>
      </c>
    </row>
    <row r="23" spans="1:10" x14ac:dyDescent="0.25">
      <c r="A23" t="s">
        <v>62</v>
      </c>
      <c r="B23" s="1">
        <v>45352</v>
      </c>
      <c r="C23">
        <v>5</v>
      </c>
      <c r="D23">
        <v>1</v>
      </c>
      <c r="E23">
        <v>3</v>
      </c>
      <c r="F23" s="18">
        <f>Engagement_Pulse_Survey[[#This Row],[Job_Satisfaction]]+Engagement_Pulse_Survey[[#This Row],[Work_Life_Balance]]+Engagement_Pulse_Survey[[#This Row],[Growth_Opportunities]]</f>
        <v>9</v>
      </c>
      <c r="G23" s="13">
        <f>Engagement_Pulse_Survey[[#This Row],[Employee satisfaction]]*10/100</f>
        <v>0.9</v>
      </c>
      <c r="H23">
        <v>2</v>
      </c>
      <c r="I23" s="3">
        <f>AVERAGE(Engagement_Pulse_Survey[[#This Row],[Job_Satisfaction]]+Engagement_Pulse_Survey[[#This Row],[Work_Life_Balance]]+Engagement_Pulse_Survey[[#This Row],[Growth_Opportunities]]+Engagement_Pulse_Survey[[#This Row],[Team_Collaboration]])</f>
        <v>11</v>
      </c>
      <c r="J23">
        <f>Engagement_Pulse_Survey[[#This Row],[Engagement Score]]/4</f>
        <v>2.75</v>
      </c>
    </row>
    <row r="24" spans="1:10" x14ac:dyDescent="0.25">
      <c r="A24" t="s">
        <v>63</v>
      </c>
      <c r="B24" s="1">
        <v>45352</v>
      </c>
      <c r="C24">
        <v>4</v>
      </c>
      <c r="D24">
        <v>5</v>
      </c>
      <c r="E24">
        <v>1</v>
      </c>
      <c r="F24" s="18">
        <f>Engagement_Pulse_Survey[[#This Row],[Job_Satisfaction]]+Engagement_Pulse_Survey[[#This Row],[Work_Life_Balance]]+Engagement_Pulse_Survey[[#This Row],[Growth_Opportunities]]</f>
        <v>10</v>
      </c>
      <c r="G24" s="13">
        <f>Engagement_Pulse_Survey[[#This Row],[Employee satisfaction]]*10/100</f>
        <v>1</v>
      </c>
      <c r="H24">
        <v>3</v>
      </c>
      <c r="I24" s="3">
        <f>AVERAGE(Engagement_Pulse_Survey[[#This Row],[Job_Satisfaction]]+Engagement_Pulse_Survey[[#This Row],[Work_Life_Balance]]+Engagement_Pulse_Survey[[#This Row],[Growth_Opportunities]]+Engagement_Pulse_Survey[[#This Row],[Team_Collaboration]])</f>
        <v>13</v>
      </c>
      <c r="J24">
        <f>Engagement_Pulse_Survey[[#This Row],[Engagement Score]]/4</f>
        <v>3.25</v>
      </c>
    </row>
    <row r="25" spans="1:10" x14ac:dyDescent="0.25">
      <c r="A25" t="s">
        <v>64</v>
      </c>
      <c r="B25" s="1">
        <v>45352</v>
      </c>
      <c r="C25">
        <v>1</v>
      </c>
      <c r="D25">
        <v>2</v>
      </c>
      <c r="E25">
        <v>5</v>
      </c>
      <c r="F25" s="18">
        <f>Engagement_Pulse_Survey[[#This Row],[Job_Satisfaction]]+Engagement_Pulse_Survey[[#This Row],[Work_Life_Balance]]+Engagement_Pulse_Survey[[#This Row],[Growth_Opportunities]]</f>
        <v>8</v>
      </c>
      <c r="G25" s="13">
        <f>Engagement_Pulse_Survey[[#This Row],[Employee satisfaction]]*10/100</f>
        <v>0.8</v>
      </c>
      <c r="H25">
        <v>5</v>
      </c>
      <c r="I25" s="3">
        <f>AVERAGE(Engagement_Pulse_Survey[[#This Row],[Job_Satisfaction]]+Engagement_Pulse_Survey[[#This Row],[Work_Life_Balance]]+Engagement_Pulse_Survey[[#This Row],[Growth_Opportunities]]+Engagement_Pulse_Survey[[#This Row],[Team_Collaboration]])</f>
        <v>13</v>
      </c>
      <c r="J25">
        <f>Engagement_Pulse_Survey[[#This Row],[Engagement Score]]/4</f>
        <v>3.25</v>
      </c>
    </row>
    <row r="26" spans="1:10" x14ac:dyDescent="0.25">
      <c r="A26" t="s">
        <v>65</v>
      </c>
      <c r="B26" s="1">
        <v>45352</v>
      </c>
      <c r="C26">
        <v>1</v>
      </c>
      <c r="D26">
        <v>2</v>
      </c>
      <c r="E26">
        <v>4</v>
      </c>
      <c r="F26" s="18">
        <f>Engagement_Pulse_Survey[[#This Row],[Job_Satisfaction]]+Engagement_Pulse_Survey[[#This Row],[Work_Life_Balance]]+Engagement_Pulse_Survey[[#This Row],[Growth_Opportunities]]</f>
        <v>7</v>
      </c>
      <c r="G26" s="13">
        <f>Engagement_Pulse_Survey[[#This Row],[Employee satisfaction]]*10/100</f>
        <v>0.7</v>
      </c>
      <c r="H26">
        <v>4</v>
      </c>
      <c r="I26" s="3">
        <f>AVERAGE(Engagement_Pulse_Survey[[#This Row],[Job_Satisfaction]]+Engagement_Pulse_Survey[[#This Row],[Work_Life_Balance]]+Engagement_Pulse_Survey[[#This Row],[Growth_Opportunities]]+Engagement_Pulse_Survey[[#This Row],[Team_Collaboration]])</f>
        <v>11</v>
      </c>
      <c r="J26">
        <f>Engagement_Pulse_Survey[[#This Row],[Engagement Score]]/4</f>
        <v>2.75</v>
      </c>
    </row>
    <row r="27" spans="1:10" x14ac:dyDescent="0.25">
      <c r="A27" t="s">
        <v>66</v>
      </c>
      <c r="B27" s="1">
        <v>45352</v>
      </c>
      <c r="C27">
        <v>3</v>
      </c>
      <c r="D27">
        <v>4</v>
      </c>
      <c r="E27">
        <v>5</v>
      </c>
      <c r="F27" s="18">
        <f>Engagement_Pulse_Survey[[#This Row],[Job_Satisfaction]]+Engagement_Pulse_Survey[[#This Row],[Work_Life_Balance]]+Engagement_Pulse_Survey[[#This Row],[Growth_Opportunities]]</f>
        <v>12</v>
      </c>
      <c r="G27" s="13">
        <f>Engagement_Pulse_Survey[[#This Row],[Employee satisfaction]]*10/100</f>
        <v>1.2</v>
      </c>
      <c r="H27">
        <v>2</v>
      </c>
      <c r="I27" s="3">
        <f>AVERAGE(Engagement_Pulse_Survey[[#This Row],[Job_Satisfaction]]+Engagement_Pulse_Survey[[#This Row],[Work_Life_Balance]]+Engagement_Pulse_Survey[[#This Row],[Growth_Opportunities]]+Engagement_Pulse_Survey[[#This Row],[Team_Collaboration]])</f>
        <v>14</v>
      </c>
      <c r="J27">
        <f>Engagement_Pulse_Survey[[#This Row],[Engagement Score]]/4</f>
        <v>3.5</v>
      </c>
    </row>
    <row r="28" spans="1:10" x14ac:dyDescent="0.25">
      <c r="A28" t="s">
        <v>67</v>
      </c>
      <c r="B28" s="1">
        <v>45352</v>
      </c>
      <c r="C28">
        <v>3</v>
      </c>
      <c r="D28">
        <v>1</v>
      </c>
      <c r="E28">
        <v>3</v>
      </c>
      <c r="F28" s="18">
        <f>Engagement_Pulse_Survey[[#This Row],[Job_Satisfaction]]+Engagement_Pulse_Survey[[#This Row],[Work_Life_Balance]]+Engagement_Pulse_Survey[[#This Row],[Growth_Opportunities]]</f>
        <v>7</v>
      </c>
      <c r="G28" s="13">
        <f>Engagement_Pulse_Survey[[#This Row],[Employee satisfaction]]*10/100</f>
        <v>0.7</v>
      </c>
      <c r="H28">
        <v>3</v>
      </c>
      <c r="I28" s="3">
        <f>AVERAGE(Engagement_Pulse_Survey[[#This Row],[Job_Satisfaction]]+Engagement_Pulse_Survey[[#This Row],[Work_Life_Balance]]+Engagement_Pulse_Survey[[#This Row],[Growth_Opportunities]]+Engagement_Pulse_Survey[[#This Row],[Team_Collaboration]])</f>
        <v>10</v>
      </c>
      <c r="J28">
        <f>Engagement_Pulse_Survey[[#This Row],[Engagement Score]]/4</f>
        <v>2.5</v>
      </c>
    </row>
    <row r="29" spans="1:10" x14ac:dyDescent="0.25">
      <c r="A29" t="s">
        <v>68</v>
      </c>
      <c r="B29" s="1">
        <v>45352</v>
      </c>
      <c r="C29">
        <v>5</v>
      </c>
      <c r="D29">
        <v>4</v>
      </c>
      <c r="E29">
        <v>4</v>
      </c>
      <c r="F29" s="18">
        <f>Engagement_Pulse_Survey[[#This Row],[Job_Satisfaction]]+Engagement_Pulse_Survey[[#This Row],[Work_Life_Balance]]+Engagement_Pulse_Survey[[#This Row],[Growth_Opportunities]]</f>
        <v>13</v>
      </c>
      <c r="G29" s="13">
        <f>Engagement_Pulse_Survey[[#This Row],[Employee satisfaction]]*10/100</f>
        <v>1.3</v>
      </c>
      <c r="H29">
        <v>3</v>
      </c>
      <c r="I29" s="3">
        <f>AVERAGE(Engagement_Pulse_Survey[[#This Row],[Job_Satisfaction]]+Engagement_Pulse_Survey[[#This Row],[Work_Life_Balance]]+Engagement_Pulse_Survey[[#This Row],[Growth_Opportunities]]+Engagement_Pulse_Survey[[#This Row],[Team_Collaboration]])</f>
        <v>16</v>
      </c>
      <c r="J29">
        <f>Engagement_Pulse_Survey[[#This Row],[Engagement Score]]/4</f>
        <v>4</v>
      </c>
    </row>
    <row r="30" spans="1:10" x14ac:dyDescent="0.25">
      <c r="A30" t="s">
        <v>69</v>
      </c>
      <c r="B30" s="1">
        <v>45352</v>
      </c>
      <c r="C30">
        <v>3</v>
      </c>
      <c r="D30">
        <v>4</v>
      </c>
      <c r="E30">
        <v>3</v>
      </c>
      <c r="F30" s="18">
        <f>Engagement_Pulse_Survey[[#This Row],[Job_Satisfaction]]+Engagement_Pulse_Survey[[#This Row],[Work_Life_Balance]]+Engagement_Pulse_Survey[[#This Row],[Growth_Opportunities]]</f>
        <v>10</v>
      </c>
      <c r="G30" s="13">
        <f>Engagement_Pulse_Survey[[#This Row],[Employee satisfaction]]*10/100</f>
        <v>1</v>
      </c>
      <c r="H30">
        <v>2</v>
      </c>
      <c r="I30" s="3">
        <f>AVERAGE(Engagement_Pulse_Survey[[#This Row],[Job_Satisfaction]]+Engagement_Pulse_Survey[[#This Row],[Work_Life_Balance]]+Engagement_Pulse_Survey[[#This Row],[Growth_Opportunities]]+Engagement_Pulse_Survey[[#This Row],[Team_Collaboration]])</f>
        <v>12</v>
      </c>
      <c r="J30">
        <f>Engagement_Pulse_Survey[[#This Row],[Engagement Score]]/4</f>
        <v>3</v>
      </c>
    </row>
    <row r="31" spans="1:10" x14ac:dyDescent="0.25">
      <c r="A31" t="s">
        <v>70</v>
      </c>
      <c r="B31" s="1">
        <v>45352</v>
      </c>
      <c r="C31">
        <v>5</v>
      </c>
      <c r="D31">
        <v>4</v>
      </c>
      <c r="E31">
        <v>1</v>
      </c>
      <c r="F31" s="18">
        <f>Engagement_Pulse_Survey[[#This Row],[Job_Satisfaction]]+Engagement_Pulse_Survey[[#This Row],[Work_Life_Balance]]+Engagement_Pulse_Survey[[#This Row],[Growth_Opportunities]]</f>
        <v>10</v>
      </c>
      <c r="G31" s="13">
        <f>Engagement_Pulse_Survey[[#This Row],[Employee satisfaction]]*10/100</f>
        <v>1</v>
      </c>
      <c r="H31">
        <v>3</v>
      </c>
      <c r="I31" s="3">
        <f>AVERAGE(Engagement_Pulse_Survey[[#This Row],[Job_Satisfaction]]+Engagement_Pulse_Survey[[#This Row],[Work_Life_Balance]]+Engagement_Pulse_Survey[[#This Row],[Growth_Opportunities]]+Engagement_Pulse_Survey[[#This Row],[Team_Collaboration]])</f>
        <v>13</v>
      </c>
      <c r="J31">
        <f>Engagement_Pulse_Survey[[#This Row],[Engagement Score]]/4</f>
        <v>3.25</v>
      </c>
    </row>
    <row r="32" spans="1:10" x14ac:dyDescent="0.25">
      <c r="A32" t="s">
        <v>71</v>
      </c>
      <c r="B32" s="1">
        <v>45352</v>
      </c>
      <c r="C32">
        <v>1</v>
      </c>
      <c r="D32">
        <v>3</v>
      </c>
      <c r="E32">
        <v>3</v>
      </c>
      <c r="F32" s="18">
        <f>Engagement_Pulse_Survey[[#This Row],[Job_Satisfaction]]+Engagement_Pulse_Survey[[#This Row],[Work_Life_Balance]]+Engagement_Pulse_Survey[[#This Row],[Growth_Opportunities]]</f>
        <v>7</v>
      </c>
      <c r="G32" s="13">
        <f>Engagement_Pulse_Survey[[#This Row],[Employee satisfaction]]*10/100</f>
        <v>0.7</v>
      </c>
      <c r="H32">
        <v>2</v>
      </c>
      <c r="I32" s="3">
        <f>AVERAGE(Engagement_Pulse_Survey[[#This Row],[Job_Satisfaction]]+Engagement_Pulse_Survey[[#This Row],[Work_Life_Balance]]+Engagement_Pulse_Survey[[#This Row],[Growth_Opportunities]]+Engagement_Pulse_Survey[[#This Row],[Team_Collaboration]])</f>
        <v>9</v>
      </c>
      <c r="J32">
        <f>Engagement_Pulse_Survey[[#This Row],[Engagement Score]]/4</f>
        <v>2.25</v>
      </c>
    </row>
    <row r="33" spans="1:10" x14ac:dyDescent="0.25">
      <c r="A33" t="s">
        <v>72</v>
      </c>
      <c r="B33" s="1">
        <v>45352</v>
      </c>
      <c r="C33">
        <v>1</v>
      </c>
      <c r="D33">
        <v>2</v>
      </c>
      <c r="E33">
        <v>3</v>
      </c>
      <c r="F33" s="18">
        <f>Engagement_Pulse_Survey[[#This Row],[Job_Satisfaction]]+Engagement_Pulse_Survey[[#This Row],[Work_Life_Balance]]+Engagement_Pulse_Survey[[#This Row],[Growth_Opportunities]]</f>
        <v>6</v>
      </c>
      <c r="G33" s="13">
        <f>Engagement_Pulse_Survey[[#This Row],[Employee satisfaction]]*10/100</f>
        <v>0.6</v>
      </c>
      <c r="H33">
        <v>2</v>
      </c>
      <c r="I33" s="3">
        <f>AVERAGE(Engagement_Pulse_Survey[[#This Row],[Job_Satisfaction]]+Engagement_Pulse_Survey[[#This Row],[Work_Life_Balance]]+Engagement_Pulse_Survey[[#This Row],[Growth_Opportunities]]+Engagement_Pulse_Survey[[#This Row],[Team_Collaboration]])</f>
        <v>8</v>
      </c>
      <c r="J33">
        <f>Engagement_Pulse_Survey[[#This Row],[Engagement Score]]/4</f>
        <v>2</v>
      </c>
    </row>
    <row r="34" spans="1:10" x14ac:dyDescent="0.25">
      <c r="A34" t="s">
        <v>73</v>
      </c>
      <c r="B34" s="1">
        <v>45352</v>
      </c>
      <c r="C34">
        <v>5</v>
      </c>
      <c r="D34">
        <v>5</v>
      </c>
      <c r="E34">
        <v>5</v>
      </c>
      <c r="F34" s="18">
        <f>Engagement_Pulse_Survey[[#This Row],[Job_Satisfaction]]+Engagement_Pulse_Survey[[#This Row],[Work_Life_Balance]]+Engagement_Pulse_Survey[[#This Row],[Growth_Opportunities]]</f>
        <v>15</v>
      </c>
      <c r="G34" s="13">
        <f>Engagement_Pulse_Survey[[#This Row],[Employee satisfaction]]*10/100</f>
        <v>1.5</v>
      </c>
      <c r="H34">
        <v>2</v>
      </c>
      <c r="I34" s="3">
        <f>AVERAGE(Engagement_Pulse_Survey[[#This Row],[Job_Satisfaction]]+Engagement_Pulse_Survey[[#This Row],[Work_Life_Balance]]+Engagement_Pulse_Survey[[#This Row],[Growth_Opportunities]]+Engagement_Pulse_Survey[[#This Row],[Team_Collaboration]])</f>
        <v>17</v>
      </c>
      <c r="J34">
        <f>Engagement_Pulse_Survey[[#This Row],[Engagement Score]]/4</f>
        <v>4.25</v>
      </c>
    </row>
    <row r="35" spans="1:10" x14ac:dyDescent="0.25">
      <c r="A35" t="s">
        <v>75</v>
      </c>
      <c r="B35" s="1">
        <v>45352</v>
      </c>
      <c r="C35">
        <v>4</v>
      </c>
      <c r="D35">
        <v>2</v>
      </c>
      <c r="E35">
        <v>3</v>
      </c>
      <c r="F35" s="18">
        <f>Engagement_Pulse_Survey[[#This Row],[Job_Satisfaction]]+Engagement_Pulse_Survey[[#This Row],[Work_Life_Balance]]+Engagement_Pulse_Survey[[#This Row],[Growth_Opportunities]]</f>
        <v>9</v>
      </c>
      <c r="G35" s="13">
        <f>Engagement_Pulse_Survey[[#This Row],[Employee satisfaction]]*10/100</f>
        <v>0.9</v>
      </c>
      <c r="H35">
        <v>3</v>
      </c>
      <c r="I35" s="3">
        <f>AVERAGE(Engagement_Pulse_Survey[[#This Row],[Job_Satisfaction]]+Engagement_Pulse_Survey[[#This Row],[Work_Life_Balance]]+Engagement_Pulse_Survey[[#This Row],[Growth_Opportunities]]+Engagement_Pulse_Survey[[#This Row],[Team_Collaboration]])</f>
        <v>12</v>
      </c>
      <c r="J35">
        <f>Engagement_Pulse_Survey[[#This Row],[Engagement Score]]/4</f>
        <v>3</v>
      </c>
    </row>
    <row r="36" spans="1:10" x14ac:dyDescent="0.25">
      <c r="A36" t="s">
        <v>76</v>
      </c>
      <c r="B36" s="1">
        <v>45352</v>
      </c>
      <c r="C36">
        <v>5</v>
      </c>
      <c r="D36">
        <v>5</v>
      </c>
      <c r="E36">
        <v>2</v>
      </c>
      <c r="F36" s="18">
        <f>Engagement_Pulse_Survey[[#This Row],[Job_Satisfaction]]+Engagement_Pulse_Survey[[#This Row],[Work_Life_Balance]]+Engagement_Pulse_Survey[[#This Row],[Growth_Opportunities]]</f>
        <v>12</v>
      </c>
      <c r="G36" s="13">
        <f>Engagement_Pulse_Survey[[#This Row],[Employee satisfaction]]*10/100</f>
        <v>1.2</v>
      </c>
      <c r="H36">
        <v>4</v>
      </c>
      <c r="I36" s="3">
        <f>AVERAGE(Engagement_Pulse_Survey[[#This Row],[Job_Satisfaction]]+Engagement_Pulse_Survey[[#This Row],[Work_Life_Balance]]+Engagement_Pulse_Survey[[#This Row],[Growth_Opportunities]]+Engagement_Pulse_Survey[[#This Row],[Team_Collaboration]])</f>
        <v>16</v>
      </c>
      <c r="J36">
        <f>Engagement_Pulse_Survey[[#This Row],[Engagement Score]]/4</f>
        <v>4</v>
      </c>
    </row>
    <row r="37" spans="1:10" x14ac:dyDescent="0.25">
      <c r="A37" t="s">
        <v>77</v>
      </c>
      <c r="B37" s="1">
        <v>45352</v>
      </c>
      <c r="C37">
        <v>4</v>
      </c>
      <c r="D37">
        <v>3</v>
      </c>
      <c r="E37">
        <v>3</v>
      </c>
      <c r="F37" s="18">
        <f>Engagement_Pulse_Survey[[#This Row],[Job_Satisfaction]]+Engagement_Pulse_Survey[[#This Row],[Work_Life_Balance]]+Engagement_Pulse_Survey[[#This Row],[Growth_Opportunities]]</f>
        <v>10</v>
      </c>
      <c r="G37" s="13">
        <f>Engagement_Pulse_Survey[[#This Row],[Employee satisfaction]]*10/100</f>
        <v>1</v>
      </c>
      <c r="H37">
        <v>1</v>
      </c>
      <c r="I37" s="3">
        <f>AVERAGE(Engagement_Pulse_Survey[[#This Row],[Job_Satisfaction]]+Engagement_Pulse_Survey[[#This Row],[Work_Life_Balance]]+Engagement_Pulse_Survey[[#This Row],[Growth_Opportunities]]+Engagement_Pulse_Survey[[#This Row],[Team_Collaboration]])</f>
        <v>11</v>
      </c>
      <c r="J37">
        <f>Engagement_Pulse_Survey[[#This Row],[Engagement Score]]/4</f>
        <v>2.75</v>
      </c>
    </row>
    <row r="38" spans="1:10" x14ac:dyDescent="0.25">
      <c r="A38" t="s">
        <v>78</v>
      </c>
      <c r="B38" s="1">
        <v>45352</v>
      </c>
      <c r="C38">
        <v>3</v>
      </c>
      <c r="D38">
        <v>4</v>
      </c>
      <c r="E38">
        <v>4</v>
      </c>
      <c r="F38" s="18">
        <f>Engagement_Pulse_Survey[[#This Row],[Job_Satisfaction]]+Engagement_Pulse_Survey[[#This Row],[Work_Life_Balance]]+Engagement_Pulse_Survey[[#This Row],[Growth_Opportunities]]</f>
        <v>11</v>
      </c>
      <c r="G38" s="13">
        <f>Engagement_Pulse_Survey[[#This Row],[Employee satisfaction]]*10/100</f>
        <v>1.1000000000000001</v>
      </c>
      <c r="H38">
        <v>2</v>
      </c>
      <c r="I38" s="3">
        <f>AVERAGE(Engagement_Pulse_Survey[[#This Row],[Job_Satisfaction]]+Engagement_Pulse_Survey[[#This Row],[Work_Life_Balance]]+Engagement_Pulse_Survey[[#This Row],[Growth_Opportunities]]+Engagement_Pulse_Survey[[#This Row],[Team_Collaboration]])</f>
        <v>13</v>
      </c>
      <c r="J38">
        <f>Engagement_Pulse_Survey[[#This Row],[Engagement Score]]/4</f>
        <v>3.25</v>
      </c>
    </row>
    <row r="39" spans="1:10" x14ac:dyDescent="0.25">
      <c r="A39" t="s">
        <v>79</v>
      </c>
      <c r="B39" s="1">
        <v>45352</v>
      </c>
      <c r="C39">
        <v>5</v>
      </c>
      <c r="D39">
        <v>2</v>
      </c>
      <c r="E39">
        <v>2</v>
      </c>
      <c r="F39" s="18">
        <f>Engagement_Pulse_Survey[[#This Row],[Job_Satisfaction]]+Engagement_Pulse_Survey[[#This Row],[Work_Life_Balance]]+Engagement_Pulse_Survey[[#This Row],[Growth_Opportunities]]</f>
        <v>9</v>
      </c>
      <c r="G39" s="13">
        <f>Engagement_Pulse_Survey[[#This Row],[Employee satisfaction]]*10/100</f>
        <v>0.9</v>
      </c>
      <c r="H39">
        <v>3</v>
      </c>
      <c r="I39" s="3">
        <f>AVERAGE(Engagement_Pulse_Survey[[#This Row],[Job_Satisfaction]]+Engagement_Pulse_Survey[[#This Row],[Work_Life_Balance]]+Engagement_Pulse_Survey[[#This Row],[Growth_Opportunities]]+Engagement_Pulse_Survey[[#This Row],[Team_Collaboration]])</f>
        <v>12</v>
      </c>
      <c r="J39">
        <f>Engagement_Pulse_Survey[[#This Row],[Engagement Score]]/4</f>
        <v>3</v>
      </c>
    </row>
    <row r="40" spans="1:10" x14ac:dyDescent="0.25">
      <c r="A40" t="s">
        <v>80</v>
      </c>
      <c r="B40" s="1">
        <v>45352</v>
      </c>
      <c r="C40">
        <v>4</v>
      </c>
      <c r="D40">
        <v>3</v>
      </c>
      <c r="E40">
        <v>2</v>
      </c>
      <c r="F40" s="18">
        <f>Engagement_Pulse_Survey[[#This Row],[Job_Satisfaction]]+Engagement_Pulse_Survey[[#This Row],[Work_Life_Balance]]+Engagement_Pulse_Survey[[#This Row],[Growth_Opportunities]]</f>
        <v>9</v>
      </c>
      <c r="G40" s="13">
        <f>Engagement_Pulse_Survey[[#This Row],[Employee satisfaction]]*10/100</f>
        <v>0.9</v>
      </c>
      <c r="H40">
        <v>4</v>
      </c>
      <c r="I40" s="3">
        <f>AVERAGE(Engagement_Pulse_Survey[[#This Row],[Job_Satisfaction]]+Engagement_Pulse_Survey[[#This Row],[Work_Life_Balance]]+Engagement_Pulse_Survey[[#This Row],[Growth_Opportunities]]+Engagement_Pulse_Survey[[#This Row],[Team_Collaboration]])</f>
        <v>13</v>
      </c>
      <c r="J40">
        <f>Engagement_Pulse_Survey[[#This Row],[Engagement Score]]/4</f>
        <v>3.25</v>
      </c>
    </row>
    <row r="41" spans="1:10" x14ac:dyDescent="0.25">
      <c r="A41" t="s">
        <v>81</v>
      </c>
      <c r="B41" s="1">
        <v>45352</v>
      </c>
      <c r="C41">
        <v>4</v>
      </c>
      <c r="D41">
        <v>2</v>
      </c>
      <c r="E41">
        <v>3</v>
      </c>
      <c r="F41" s="18">
        <f>Engagement_Pulse_Survey[[#This Row],[Job_Satisfaction]]+Engagement_Pulse_Survey[[#This Row],[Work_Life_Balance]]+Engagement_Pulse_Survey[[#This Row],[Growth_Opportunities]]</f>
        <v>9</v>
      </c>
      <c r="G41" s="13">
        <f>Engagement_Pulse_Survey[[#This Row],[Employee satisfaction]]*10/100</f>
        <v>0.9</v>
      </c>
      <c r="H41">
        <v>5</v>
      </c>
      <c r="I41" s="3">
        <f>AVERAGE(Engagement_Pulse_Survey[[#This Row],[Job_Satisfaction]]+Engagement_Pulse_Survey[[#This Row],[Work_Life_Balance]]+Engagement_Pulse_Survey[[#This Row],[Growth_Opportunities]]+Engagement_Pulse_Survey[[#This Row],[Team_Collaboration]])</f>
        <v>14</v>
      </c>
      <c r="J41">
        <f>Engagement_Pulse_Survey[[#This Row],[Engagement Score]]/4</f>
        <v>3.5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D5E51-27C2-4C86-8F52-04A34903E480}">
  <dimension ref="A1:E16"/>
  <sheetViews>
    <sheetView workbookViewId="0">
      <selection activeCell="J4" sqref="J4"/>
    </sheetView>
  </sheetViews>
  <sheetFormatPr defaultRowHeight="15" x14ac:dyDescent="0.25"/>
  <cols>
    <col min="1" max="1" width="10" bestFit="1" customWidth="1"/>
    <col min="2" max="2" width="12.5703125" bestFit="1" customWidth="1"/>
    <col min="3" max="3" width="11.7109375" bestFit="1" customWidth="1"/>
    <col min="4" max="4" width="14.5703125" bestFit="1" customWidth="1"/>
    <col min="5" max="5" width="17.85546875" bestFit="1" customWidth="1"/>
  </cols>
  <sheetData>
    <row r="1" spans="1:5" x14ac:dyDescent="0.25">
      <c r="A1" t="s">
        <v>0</v>
      </c>
      <c r="B1" t="s">
        <v>321</v>
      </c>
      <c r="C1" t="s">
        <v>322</v>
      </c>
      <c r="D1" t="s">
        <v>323</v>
      </c>
      <c r="E1" t="s">
        <v>324</v>
      </c>
    </row>
    <row r="2" spans="1:5" x14ac:dyDescent="0.25">
      <c r="A2" t="s">
        <v>71</v>
      </c>
      <c r="B2" s="1">
        <v>45295</v>
      </c>
      <c r="C2" s="1">
        <v>45297</v>
      </c>
      <c r="D2" t="s">
        <v>325</v>
      </c>
      <c r="E2" t="s">
        <v>326</v>
      </c>
    </row>
    <row r="3" spans="1:5" x14ac:dyDescent="0.25">
      <c r="A3" t="s">
        <v>69</v>
      </c>
      <c r="B3" s="1">
        <v>45316</v>
      </c>
      <c r="C3" s="1">
        <v>45316</v>
      </c>
      <c r="D3" t="s">
        <v>327</v>
      </c>
      <c r="E3" t="s">
        <v>326</v>
      </c>
    </row>
    <row r="4" spans="1:5" x14ac:dyDescent="0.25">
      <c r="A4" t="s">
        <v>19</v>
      </c>
      <c r="B4" s="1">
        <v>45303</v>
      </c>
      <c r="C4" s="1">
        <v>45304</v>
      </c>
      <c r="D4" t="s">
        <v>327</v>
      </c>
      <c r="E4" t="s">
        <v>326</v>
      </c>
    </row>
    <row r="5" spans="1:5" x14ac:dyDescent="0.25">
      <c r="A5" t="s">
        <v>48</v>
      </c>
      <c r="B5" s="1">
        <v>45313</v>
      </c>
      <c r="C5" s="1">
        <v>45315</v>
      </c>
      <c r="D5" t="s">
        <v>327</v>
      </c>
      <c r="E5" t="s">
        <v>326</v>
      </c>
    </row>
    <row r="6" spans="1:5" x14ac:dyDescent="0.25">
      <c r="A6" t="s">
        <v>47</v>
      </c>
      <c r="B6" s="1">
        <v>45298</v>
      </c>
      <c r="C6" s="1">
        <v>45298</v>
      </c>
      <c r="D6" t="s">
        <v>325</v>
      </c>
      <c r="E6" t="s">
        <v>326</v>
      </c>
    </row>
    <row r="7" spans="1:5" x14ac:dyDescent="0.25">
      <c r="A7" t="s">
        <v>68</v>
      </c>
      <c r="B7" s="1">
        <v>45307</v>
      </c>
      <c r="C7" s="1">
        <v>45307</v>
      </c>
      <c r="D7" t="s">
        <v>328</v>
      </c>
      <c r="E7" t="s">
        <v>326</v>
      </c>
    </row>
    <row r="8" spans="1:5" x14ac:dyDescent="0.25">
      <c r="A8" t="s">
        <v>66</v>
      </c>
      <c r="B8" s="1">
        <v>45315</v>
      </c>
      <c r="C8" s="1">
        <v>45317</v>
      </c>
      <c r="D8" t="s">
        <v>325</v>
      </c>
      <c r="E8" t="s">
        <v>329</v>
      </c>
    </row>
    <row r="9" spans="1:5" x14ac:dyDescent="0.25">
      <c r="A9" t="s">
        <v>72</v>
      </c>
      <c r="B9" s="1">
        <v>45315</v>
      </c>
      <c r="C9" s="1">
        <v>45315</v>
      </c>
      <c r="D9" t="s">
        <v>325</v>
      </c>
      <c r="E9" t="s">
        <v>326</v>
      </c>
    </row>
    <row r="10" spans="1:5" x14ac:dyDescent="0.25">
      <c r="A10" t="s">
        <v>80</v>
      </c>
      <c r="B10" s="1">
        <v>45292</v>
      </c>
      <c r="C10" s="1">
        <v>45292</v>
      </c>
      <c r="D10" t="s">
        <v>327</v>
      </c>
      <c r="E10" t="s">
        <v>326</v>
      </c>
    </row>
    <row r="11" spans="1:5" x14ac:dyDescent="0.25">
      <c r="A11" t="s">
        <v>67</v>
      </c>
      <c r="B11" s="1">
        <v>45312</v>
      </c>
      <c r="C11" s="1">
        <v>45314</v>
      </c>
      <c r="D11" t="s">
        <v>327</v>
      </c>
      <c r="E11" t="s">
        <v>326</v>
      </c>
    </row>
    <row r="12" spans="1:5" x14ac:dyDescent="0.25">
      <c r="A12" t="s">
        <v>33</v>
      </c>
      <c r="B12" s="1">
        <v>45294</v>
      </c>
      <c r="C12" s="1">
        <v>45295</v>
      </c>
      <c r="D12" t="s">
        <v>327</v>
      </c>
      <c r="E12" t="s">
        <v>326</v>
      </c>
    </row>
    <row r="13" spans="1:5" x14ac:dyDescent="0.25">
      <c r="A13" t="s">
        <v>77</v>
      </c>
      <c r="B13" s="1">
        <v>45307</v>
      </c>
      <c r="C13" s="1">
        <v>45308</v>
      </c>
      <c r="D13" t="s">
        <v>328</v>
      </c>
      <c r="E13" t="s">
        <v>326</v>
      </c>
    </row>
    <row r="14" spans="1:5" x14ac:dyDescent="0.25">
      <c r="A14" t="s">
        <v>30</v>
      </c>
      <c r="B14" s="1">
        <v>45305</v>
      </c>
      <c r="C14" s="1">
        <v>45305</v>
      </c>
      <c r="D14" t="s">
        <v>325</v>
      </c>
      <c r="E14" t="s">
        <v>326</v>
      </c>
    </row>
    <row r="15" spans="1:5" x14ac:dyDescent="0.25">
      <c r="A15" t="s">
        <v>61</v>
      </c>
      <c r="B15" s="1">
        <v>45301</v>
      </c>
      <c r="C15" s="1">
        <v>45301</v>
      </c>
      <c r="D15" t="s">
        <v>328</v>
      </c>
      <c r="E15" t="s">
        <v>326</v>
      </c>
    </row>
    <row r="16" spans="1:5" x14ac:dyDescent="0.25">
      <c r="A16" t="s">
        <v>79</v>
      </c>
      <c r="B16" s="1">
        <v>45314</v>
      </c>
      <c r="C16" s="1">
        <v>45314</v>
      </c>
      <c r="D16" t="s">
        <v>325</v>
      </c>
      <c r="E16" t="s">
        <v>326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47AE-74AB-40FE-BD10-C4905F570297}">
  <dimension ref="A1:E51"/>
  <sheetViews>
    <sheetView workbookViewId="0">
      <selection activeCell="L12" sqref="L12"/>
    </sheetView>
  </sheetViews>
  <sheetFormatPr defaultRowHeight="15" x14ac:dyDescent="0.25"/>
  <cols>
    <col min="1" max="1" width="10" bestFit="1" customWidth="1"/>
    <col min="2" max="2" width="14" bestFit="1" customWidth="1"/>
    <col min="3" max="3" width="17.5703125" bestFit="1" customWidth="1"/>
    <col min="4" max="4" width="8" bestFit="1" customWidth="1"/>
    <col min="5" max="5" width="7" bestFit="1" customWidth="1"/>
  </cols>
  <sheetData>
    <row r="1" spans="1:5" x14ac:dyDescent="0.25">
      <c r="A1" t="s">
        <v>0</v>
      </c>
      <c r="B1" t="s">
        <v>6</v>
      </c>
      <c r="C1" t="s">
        <v>7</v>
      </c>
      <c r="D1" t="s">
        <v>330</v>
      </c>
      <c r="E1" t="s">
        <v>331</v>
      </c>
    </row>
    <row r="2" spans="1:5" x14ac:dyDescent="0.25">
      <c r="A2" t="s">
        <v>11</v>
      </c>
      <c r="B2" t="s">
        <v>14</v>
      </c>
      <c r="C2" t="s">
        <v>15</v>
      </c>
      <c r="D2">
        <v>1399100</v>
      </c>
      <c r="E2" t="s">
        <v>18</v>
      </c>
    </row>
    <row r="3" spans="1:5" x14ac:dyDescent="0.25">
      <c r="A3" t="s">
        <v>19</v>
      </c>
      <c r="B3" t="s">
        <v>22</v>
      </c>
      <c r="C3" t="s">
        <v>23</v>
      </c>
      <c r="D3">
        <v>674935</v>
      </c>
      <c r="E3" t="s">
        <v>18</v>
      </c>
    </row>
    <row r="4" spans="1:5" x14ac:dyDescent="0.25">
      <c r="A4" t="s">
        <v>24</v>
      </c>
      <c r="B4" t="s">
        <v>25</v>
      </c>
      <c r="C4" t="s">
        <v>26</v>
      </c>
      <c r="D4">
        <v>1010966</v>
      </c>
      <c r="E4" t="s">
        <v>18</v>
      </c>
    </row>
    <row r="5" spans="1:5" x14ac:dyDescent="0.25">
      <c r="A5" t="s">
        <v>28</v>
      </c>
      <c r="B5" t="s">
        <v>22</v>
      </c>
      <c r="C5" t="s">
        <v>23</v>
      </c>
      <c r="D5">
        <v>600105</v>
      </c>
      <c r="E5" t="s">
        <v>18</v>
      </c>
    </row>
    <row r="6" spans="1:5" x14ac:dyDescent="0.25">
      <c r="A6" t="s">
        <v>30</v>
      </c>
      <c r="B6" t="s">
        <v>32</v>
      </c>
      <c r="C6" t="s">
        <v>15</v>
      </c>
      <c r="D6">
        <v>448471</v>
      </c>
      <c r="E6" t="s">
        <v>18</v>
      </c>
    </row>
    <row r="7" spans="1:5" x14ac:dyDescent="0.25">
      <c r="A7" t="s">
        <v>33</v>
      </c>
      <c r="B7" t="s">
        <v>14</v>
      </c>
      <c r="C7" t="s">
        <v>35</v>
      </c>
      <c r="D7">
        <v>742377</v>
      </c>
      <c r="E7" t="s">
        <v>18</v>
      </c>
    </row>
    <row r="8" spans="1:5" x14ac:dyDescent="0.25">
      <c r="A8" t="s">
        <v>37</v>
      </c>
      <c r="B8" t="s">
        <v>32</v>
      </c>
      <c r="C8" t="s">
        <v>15</v>
      </c>
      <c r="D8">
        <v>1314373</v>
      </c>
      <c r="E8" t="s">
        <v>18</v>
      </c>
    </row>
    <row r="9" spans="1:5" x14ac:dyDescent="0.25">
      <c r="A9" t="s">
        <v>39</v>
      </c>
      <c r="B9" t="s">
        <v>40</v>
      </c>
      <c r="C9" t="s">
        <v>41</v>
      </c>
      <c r="D9">
        <v>306964</v>
      </c>
      <c r="E9" t="s">
        <v>18</v>
      </c>
    </row>
    <row r="10" spans="1:5" x14ac:dyDescent="0.25">
      <c r="A10" t="s">
        <v>42</v>
      </c>
      <c r="B10" t="s">
        <v>22</v>
      </c>
      <c r="C10" t="s">
        <v>44</v>
      </c>
      <c r="D10">
        <v>493011</v>
      </c>
      <c r="E10" t="s">
        <v>18</v>
      </c>
    </row>
    <row r="11" spans="1:5" x14ac:dyDescent="0.25">
      <c r="A11" t="s">
        <v>45</v>
      </c>
      <c r="B11" t="s">
        <v>14</v>
      </c>
      <c r="C11" t="s">
        <v>46</v>
      </c>
      <c r="D11">
        <v>1109368</v>
      </c>
      <c r="E11" t="s">
        <v>18</v>
      </c>
    </row>
    <row r="12" spans="1:5" x14ac:dyDescent="0.25">
      <c r="A12" t="s">
        <v>47</v>
      </c>
      <c r="B12" t="s">
        <v>14</v>
      </c>
      <c r="C12" t="s">
        <v>23</v>
      </c>
      <c r="D12">
        <v>951502</v>
      </c>
      <c r="E12" t="s">
        <v>18</v>
      </c>
    </row>
    <row r="13" spans="1:5" x14ac:dyDescent="0.25">
      <c r="A13" t="s">
        <v>48</v>
      </c>
      <c r="B13" t="s">
        <v>25</v>
      </c>
      <c r="C13" t="s">
        <v>49</v>
      </c>
      <c r="D13">
        <v>536804</v>
      </c>
      <c r="E13" t="s">
        <v>18</v>
      </c>
    </row>
    <row r="14" spans="1:5" x14ac:dyDescent="0.25">
      <c r="A14" t="s">
        <v>50</v>
      </c>
      <c r="B14" t="s">
        <v>40</v>
      </c>
      <c r="C14" t="s">
        <v>35</v>
      </c>
      <c r="D14">
        <v>446688</v>
      </c>
      <c r="E14" t="s">
        <v>18</v>
      </c>
    </row>
    <row r="15" spans="1:5" x14ac:dyDescent="0.25">
      <c r="A15" t="s">
        <v>51</v>
      </c>
      <c r="B15" t="s">
        <v>52</v>
      </c>
      <c r="C15" t="s">
        <v>41</v>
      </c>
      <c r="D15">
        <v>570320</v>
      </c>
      <c r="E15" t="s">
        <v>18</v>
      </c>
    </row>
    <row r="16" spans="1:5" x14ac:dyDescent="0.25">
      <c r="A16" t="s">
        <v>53</v>
      </c>
      <c r="B16" t="s">
        <v>14</v>
      </c>
      <c r="C16" t="s">
        <v>26</v>
      </c>
      <c r="D16">
        <v>471927</v>
      </c>
      <c r="E16" t="s">
        <v>18</v>
      </c>
    </row>
    <row r="17" spans="1:5" x14ac:dyDescent="0.25">
      <c r="A17" t="s">
        <v>54</v>
      </c>
      <c r="B17" t="s">
        <v>40</v>
      </c>
      <c r="C17" t="s">
        <v>49</v>
      </c>
      <c r="D17">
        <v>1229418</v>
      </c>
      <c r="E17" t="s">
        <v>18</v>
      </c>
    </row>
    <row r="18" spans="1:5" x14ac:dyDescent="0.25">
      <c r="A18" t="s">
        <v>55</v>
      </c>
      <c r="B18" t="s">
        <v>57</v>
      </c>
      <c r="C18" t="s">
        <v>23</v>
      </c>
      <c r="D18">
        <v>505969</v>
      </c>
      <c r="E18" t="s">
        <v>18</v>
      </c>
    </row>
    <row r="19" spans="1:5" x14ac:dyDescent="0.25">
      <c r="A19" t="s">
        <v>58</v>
      </c>
      <c r="B19" t="s">
        <v>32</v>
      </c>
      <c r="C19" t="s">
        <v>46</v>
      </c>
      <c r="D19">
        <v>953824</v>
      </c>
      <c r="E19" t="s">
        <v>18</v>
      </c>
    </row>
    <row r="20" spans="1:5" x14ac:dyDescent="0.25">
      <c r="A20" t="s">
        <v>59</v>
      </c>
      <c r="B20" t="s">
        <v>40</v>
      </c>
      <c r="C20" t="s">
        <v>44</v>
      </c>
      <c r="D20">
        <v>1190272</v>
      </c>
      <c r="E20" t="s">
        <v>18</v>
      </c>
    </row>
    <row r="21" spans="1:5" x14ac:dyDescent="0.25">
      <c r="A21" t="s">
        <v>60</v>
      </c>
      <c r="B21" t="s">
        <v>22</v>
      </c>
      <c r="C21" t="s">
        <v>46</v>
      </c>
      <c r="D21">
        <v>1436662</v>
      </c>
      <c r="E21" t="s">
        <v>18</v>
      </c>
    </row>
    <row r="22" spans="1:5" x14ac:dyDescent="0.25">
      <c r="A22" t="s">
        <v>61</v>
      </c>
      <c r="B22" t="s">
        <v>25</v>
      </c>
      <c r="C22" t="s">
        <v>41</v>
      </c>
      <c r="D22">
        <v>428795</v>
      </c>
      <c r="E22" t="s">
        <v>18</v>
      </c>
    </row>
    <row r="23" spans="1:5" x14ac:dyDescent="0.25">
      <c r="A23" t="s">
        <v>62</v>
      </c>
      <c r="B23" t="s">
        <v>57</v>
      </c>
      <c r="C23" t="s">
        <v>26</v>
      </c>
      <c r="D23">
        <v>1069142</v>
      </c>
      <c r="E23" t="s">
        <v>18</v>
      </c>
    </row>
    <row r="24" spans="1:5" x14ac:dyDescent="0.25">
      <c r="A24" t="s">
        <v>63</v>
      </c>
      <c r="B24" t="s">
        <v>57</v>
      </c>
      <c r="C24" t="s">
        <v>44</v>
      </c>
      <c r="D24">
        <v>1399272</v>
      </c>
      <c r="E24" t="s">
        <v>18</v>
      </c>
    </row>
    <row r="25" spans="1:5" x14ac:dyDescent="0.25">
      <c r="A25" t="s">
        <v>64</v>
      </c>
      <c r="B25" t="s">
        <v>22</v>
      </c>
      <c r="C25" t="s">
        <v>44</v>
      </c>
      <c r="D25">
        <v>474051</v>
      </c>
      <c r="E25" t="s">
        <v>18</v>
      </c>
    </row>
    <row r="26" spans="1:5" x14ac:dyDescent="0.25">
      <c r="A26" t="s">
        <v>65</v>
      </c>
      <c r="B26" t="s">
        <v>40</v>
      </c>
      <c r="C26" t="s">
        <v>15</v>
      </c>
      <c r="D26">
        <v>950124</v>
      </c>
      <c r="E26" t="s">
        <v>18</v>
      </c>
    </row>
    <row r="27" spans="1:5" x14ac:dyDescent="0.25">
      <c r="A27" t="s">
        <v>66</v>
      </c>
      <c r="B27" t="s">
        <v>32</v>
      </c>
      <c r="C27" t="s">
        <v>23</v>
      </c>
      <c r="D27">
        <v>1053049</v>
      </c>
      <c r="E27" t="s">
        <v>18</v>
      </c>
    </row>
    <row r="28" spans="1:5" x14ac:dyDescent="0.25">
      <c r="A28" t="s">
        <v>67</v>
      </c>
      <c r="B28" t="s">
        <v>57</v>
      </c>
      <c r="C28" t="s">
        <v>35</v>
      </c>
      <c r="D28">
        <v>1435065</v>
      </c>
      <c r="E28" t="s">
        <v>18</v>
      </c>
    </row>
    <row r="29" spans="1:5" x14ac:dyDescent="0.25">
      <c r="A29" t="s">
        <v>68</v>
      </c>
      <c r="B29" t="s">
        <v>25</v>
      </c>
      <c r="C29" t="s">
        <v>35</v>
      </c>
      <c r="D29">
        <v>1159741</v>
      </c>
      <c r="E29" t="s">
        <v>18</v>
      </c>
    </row>
    <row r="30" spans="1:5" x14ac:dyDescent="0.25">
      <c r="A30" t="s">
        <v>69</v>
      </c>
      <c r="B30" t="s">
        <v>57</v>
      </c>
      <c r="C30" t="s">
        <v>26</v>
      </c>
      <c r="D30">
        <v>929138</v>
      </c>
      <c r="E30" t="s">
        <v>18</v>
      </c>
    </row>
    <row r="31" spans="1:5" x14ac:dyDescent="0.25">
      <c r="A31" t="s">
        <v>70</v>
      </c>
      <c r="B31" t="s">
        <v>25</v>
      </c>
      <c r="C31" t="s">
        <v>49</v>
      </c>
      <c r="D31">
        <v>1312578</v>
      </c>
      <c r="E31" t="s">
        <v>18</v>
      </c>
    </row>
    <row r="32" spans="1:5" x14ac:dyDescent="0.25">
      <c r="A32" t="s">
        <v>71</v>
      </c>
      <c r="B32" t="s">
        <v>57</v>
      </c>
      <c r="C32" t="s">
        <v>44</v>
      </c>
      <c r="D32">
        <v>1048803</v>
      </c>
      <c r="E32" t="s">
        <v>18</v>
      </c>
    </row>
    <row r="33" spans="1:5" x14ac:dyDescent="0.25">
      <c r="A33" t="s">
        <v>72</v>
      </c>
      <c r="B33" t="s">
        <v>14</v>
      </c>
      <c r="C33" t="s">
        <v>15</v>
      </c>
      <c r="D33">
        <v>482183</v>
      </c>
      <c r="E33" t="s">
        <v>18</v>
      </c>
    </row>
    <row r="34" spans="1:5" x14ac:dyDescent="0.25">
      <c r="A34" t="s">
        <v>73</v>
      </c>
      <c r="B34" t="s">
        <v>52</v>
      </c>
      <c r="C34" t="s">
        <v>74</v>
      </c>
      <c r="D34">
        <v>845623</v>
      </c>
      <c r="E34" t="s">
        <v>18</v>
      </c>
    </row>
    <row r="35" spans="1:5" x14ac:dyDescent="0.25">
      <c r="A35" t="s">
        <v>75</v>
      </c>
      <c r="B35" t="s">
        <v>22</v>
      </c>
      <c r="C35" t="s">
        <v>44</v>
      </c>
      <c r="D35">
        <v>1051978</v>
      </c>
      <c r="E35" t="s">
        <v>18</v>
      </c>
    </row>
    <row r="36" spans="1:5" x14ac:dyDescent="0.25">
      <c r="A36" t="s">
        <v>76</v>
      </c>
      <c r="B36" t="s">
        <v>32</v>
      </c>
      <c r="C36" t="s">
        <v>26</v>
      </c>
      <c r="D36">
        <v>405935</v>
      </c>
      <c r="E36" t="s">
        <v>18</v>
      </c>
    </row>
    <row r="37" spans="1:5" x14ac:dyDescent="0.25">
      <c r="A37" t="s">
        <v>77</v>
      </c>
      <c r="B37" t="s">
        <v>25</v>
      </c>
      <c r="C37" t="s">
        <v>46</v>
      </c>
      <c r="D37">
        <v>958981</v>
      </c>
      <c r="E37" t="s">
        <v>18</v>
      </c>
    </row>
    <row r="38" spans="1:5" x14ac:dyDescent="0.25">
      <c r="A38" t="s">
        <v>78</v>
      </c>
      <c r="B38" t="s">
        <v>22</v>
      </c>
      <c r="C38" t="s">
        <v>15</v>
      </c>
      <c r="D38">
        <v>493398</v>
      </c>
      <c r="E38" t="s">
        <v>18</v>
      </c>
    </row>
    <row r="39" spans="1:5" x14ac:dyDescent="0.25">
      <c r="A39" t="s">
        <v>79</v>
      </c>
      <c r="B39" t="s">
        <v>25</v>
      </c>
      <c r="C39" t="s">
        <v>49</v>
      </c>
      <c r="D39">
        <v>1439155</v>
      </c>
      <c r="E39" t="s">
        <v>18</v>
      </c>
    </row>
    <row r="40" spans="1:5" x14ac:dyDescent="0.25">
      <c r="A40" t="s">
        <v>80</v>
      </c>
      <c r="B40" t="s">
        <v>25</v>
      </c>
      <c r="C40" t="s">
        <v>49</v>
      </c>
      <c r="D40">
        <v>538527</v>
      </c>
      <c r="E40" t="s">
        <v>18</v>
      </c>
    </row>
    <row r="41" spans="1:5" x14ac:dyDescent="0.25">
      <c r="A41" t="s">
        <v>81</v>
      </c>
      <c r="B41" t="s">
        <v>14</v>
      </c>
      <c r="C41" t="s">
        <v>35</v>
      </c>
      <c r="D41">
        <v>924847</v>
      </c>
      <c r="E41" t="s">
        <v>18</v>
      </c>
    </row>
    <row r="42" spans="1:5" x14ac:dyDescent="0.25">
      <c r="A42" t="s">
        <v>82</v>
      </c>
      <c r="B42" t="s">
        <v>40</v>
      </c>
      <c r="C42" t="s">
        <v>23</v>
      </c>
      <c r="D42">
        <v>1342016</v>
      </c>
      <c r="E42" t="s">
        <v>83</v>
      </c>
    </row>
    <row r="43" spans="1:5" x14ac:dyDescent="0.25">
      <c r="A43" t="s">
        <v>84</v>
      </c>
      <c r="B43" t="s">
        <v>32</v>
      </c>
      <c r="C43" t="s">
        <v>44</v>
      </c>
      <c r="D43">
        <v>1395516</v>
      </c>
      <c r="E43" t="s">
        <v>83</v>
      </c>
    </row>
    <row r="44" spans="1:5" x14ac:dyDescent="0.25">
      <c r="A44" t="s">
        <v>85</v>
      </c>
      <c r="B44" t="s">
        <v>32</v>
      </c>
      <c r="C44" t="s">
        <v>26</v>
      </c>
      <c r="D44">
        <v>1290730</v>
      </c>
      <c r="E44" t="s">
        <v>83</v>
      </c>
    </row>
    <row r="45" spans="1:5" x14ac:dyDescent="0.25">
      <c r="A45" t="s">
        <v>86</v>
      </c>
      <c r="B45" t="s">
        <v>22</v>
      </c>
      <c r="C45" t="s">
        <v>15</v>
      </c>
      <c r="D45">
        <v>975479</v>
      </c>
      <c r="E45" t="s">
        <v>83</v>
      </c>
    </row>
    <row r="46" spans="1:5" x14ac:dyDescent="0.25">
      <c r="A46" t="s">
        <v>87</v>
      </c>
      <c r="B46" t="s">
        <v>52</v>
      </c>
      <c r="C46" t="s">
        <v>41</v>
      </c>
      <c r="D46">
        <v>1496475</v>
      </c>
      <c r="E46" t="s">
        <v>83</v>
      </c>
    </row>
    <row r="47" spans="1:5" x14ac:dyDescent="0.25">
      <c r="A47" t="s">
        <v>88</v>
      </c>
      <c r="B47" t="s">
        <v>40</v>
      </c>
      <c r="C47" t="s">
        <v>23</v>
      </c>
      <c r="D47">
        <v>993091</v>
      </c>
      <c r="E47" t="s">
        <v>83</v>
      </c>
    </row>
    <row r="48" spans="1:5" x14ac:dyDescent="0.25">
      <c r="A48" t="s">
        <v>89</v>
      </c>
      <c r="B48" t="s">
        <v>25</v>
      </c>
      <c r="C48" t="s">
        <v>15</v>
      </c>
      <c r="D48">
        <v>818126</v>
      </c>
      <c r="E48" t="s">
        <v>83</v>
      </c>
    </row>
    <row r="49" spans="1:5" x14ac:dyDescent="0.25">
      <c r="A49" t="s">
        <v>90</v>
      </c>
      <c r="B49" t="s">
        <v>25</v>
      </c>
      <c r="C49" t="s">
        <v>41</v>
      </c>
      <c r="D49">
        <v>762005</v>
      </c>
      <c r="E49" t="s">
        <v>83</v>
      </c>
    </row>
    <row r="50" spans="1:5" x14ac:dyDescent="0.25">
      <c r="A50" t="s">
        <v>91</v>
      </c>
      <c r="B50" t="s">
        <v>14</v>
      </c>
      <c r="C50" t="s">
        <v>15</v>
      </c>
      <c r="D50">
        <v>683945</v>
      </c>
      <c r="E50" t="s">
        <v>83</v>
      </c>
    </row>
    <row r="51" spans="1:5" x14ac:dyDescent="0.25">
      <c r="A51" t="s">
        <v>92</v>
      </c>
      <c r="B51" t="s">
        <v>52</v>
      </c>
      <c r="C51" t="s">
        <v>35</v>
      </c>
      <c r="D51">
        <v>852411</v>
      </c>
      <c r="E51" t="s">
        <v>83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55367-5876-47E6-A0BD-FE893A34BDBA}">
  <dimension ref="A1:L51"/>
  <sheetViews>
    <sheetView workbookViewId="0">
      <selection activeCell="I9" sqref="I9"/>
    </sheetView>
  </sheetViews>
  <sheetFormatPr defaultRowHeight="15" x14ac:dyDescent="0.25"/>
  <cols>
    <col min="1" max="1" width="10" bestFit="1" customWidth="1"/>
    <col min="2" max="2" width="16.42578125" bestFit="1" customWidth="1"/>
    <col min="3" max="3" width="14.42578125" bestFit="1" customWidth="1"/>
    <col min="4" max="4" width="13.85546875" bestFit="1" customWidth="1"/>
    <col min="5" max="5" width="7" bestFit="1" customWidth="1"/>
    <col min="6" max="6" width="6" bestFit="1" customWidth="1"/>
    <col min="7" max="7" width="9.7109375" bestFit="1" customWidth="1"/>
    <col min="8" max="8" width="14.42578125" bestFit="1" customWidth="1"/>
    <col min="9" max="9" width="18.7109375" bestFit="1" customWidth="1"/>
    <col min="10" max="10" width="12.7109375" bestFit="1" customWidth="1"/>
    <col min="11" max="11" width="17.5703125" bestFit="1" customWidth="1"/>
    <col min="12" max="12" width="16.28515625" bestFit="1" customWidth="1"/>
  </cols>
  <sheetData>
    <row r="1" spans="1:12" x14ac:dyDescent="0.25">
      <c r="A1" t="s">
        <v>0</v>
      </c>
      <c r="B1" t="s">
        <v>332</v>
      </c>
      <c r="C1" t="s">
        <v>333</v>
      </c>
      <c r="D1" t="s">
        <v>334</v>
      </c>
      <c r="E1" t="s">
        <v>335</v>
      </c>
      <c r="F1" t="s">
        <v>336</v>
      </c>
      <c r="G1" t="s">
        <v>337</v>
      </c>
      <c r="H1" t="s">
        <v>338</v>
      </c>
      <c r="I1" t="s">
        <v>339</v>
      </c>
      <c r="J1" t="s">
        <v>340</v>
      </c>
      <c r="K1" t="s">
        <v>341</v>
      </c>
      <c r="L1" t="s">
        <v>342</v>
      </c>
    </row>
    <row r="2" spans="1:12" x14ac:dyDescent="0.25">
      <c r="A2" t="s">
        <v>11</v>
      </c>
      <c r="B2" t="s">
        <v>343</v>
      </c>
      <c r="C2">
        <v>2024</v>
      </c>
      <c r="D2">
        <v>58295</v>
      </c>
      <c r="E2">
        <v>34977</v>
      </c>
      <c r="F2">
        <v>11659</v>
      </c>
      <c r="G2">
        <v>0</v>
      </c>
      <c r="H2">
        <v>104931</v>
      </c>
      <c r="I2">
        <v>10493</v>
      </c>
      <c r="J2">
        <v>94438</v>
      </c>
      <c r="K2" t="s">
        <v>344</v>
      </c>
      <c r="L2" s="1">
        <v>45322</v>
      </c>
    </row>
    <row r="3" spans="1:12" x14ac:dyDescent="0.25">
      <c r="A3" t="s">
        <v>19</v>
      </c>
      <c r="B3" t="s">
        <v>343</v>
      </c>
      <c r="C3">
        <v>2024</v>
      </c>
      <c r="D3">
        <v>28122</v>
      </c>
      <c r="E3">
        <v>16873</v>
      </c>
      <c r="F3">
        <v>5624</v>
      </c>
      <c r="G3">
        <v>0</v>
      </c>
      <c r="H3">
        <v>50619</v>
      </c>
      <c r="I3">
        <v>5061</v>
      </c>
      <c r="J3">
        <v>45558</v>
      </c>
      <c r="K3" t="s">
        <v>344</v>
      </c>
      <c r="L3" s="1">
        <v>45322</v>
      </c>
    </row>
    <row r="4" spans="1:12" x14ac:dyDescent="0.25">
      <c r="A4" t="s">
        <v>24</v>
      </c>
      <c r="B4" t="s">
        <v>343</v>
      </c>
      <c r="C4">
        <v>2024</v>
      </c>
      <c r="D4">
        <v>42123</v>
      </c>
      <c r="E4">
        <v>25274</v>
      </c>
      <c r="F4">
        <v>8424</v>
      </c>
      <c r="G4">
        <v>0</v>
      </c>
      <c r="H4">
        <v>75821</v>
      </c>
      <c r="I4">
        <v>7582</v>
      </c>
      <c r="J4">
        <v>68239</v>
      </c>
      <c r="K4" t="s">
        <v>344</v>
      </c>
      <c r="L4" s="1">
        <v>45322</v>
      </c>
    </row>
    <row r="5" spans="1:12" x14ac:dyDescent="0.25">
      <c r="A5" t="s">
        <v>28</v>
      </c>
      <c r="B5" t="s">
        <v>343</v>
      </c>
      <c r="C5">
        <v>2024</v>
      </c>
      <c r="D5">
        <v>25004</v>
      </c>
      <c r="E5">
        <v>15002</v>
      </c>
      <c r="F5">
        <v>5000</v>
      </c>
      <c r="G5">
        <v>0</v>
      </c>
      <c r="H5">
        <v>45006</v>
      </c>
      <c r="I5">
        <v>4500</v>
      </c>
      <c r="J5">
        <v>40506</v>
      </c>
      <c r="K5" t="s">
        <v>344</v>
      </c>
      <c r="L5" s="1">
        <v>45322</v>
      </c>
    </row>
    <row r="6" spans="1:12" x14ac:dyDescent="0.25">
      <c r="A6" t="s">
        <v>30</v>
      </c>
      <c r="B6" t="s">
        <v>343</v>
      </c>
      <c r="C6">
        <v>2024</v>
      </c>
      <c r="D6">
        <v>18686</v>
      </c>
      <c r="E6">
        <v>11211</v>
      </c>
      <c r="F6">
        <v>3737</v>
      </c>
      <c r="G6">
        <v>0</v>
      </c>
      <c r="H6">
        <v>33634</v>
      </c>
      <c r="I6">
        <v>3363</v>
      </c>
      <c r="J6">
        <v>30271</v>
      </c>
      <c r="K6" t="s">
        <v>344</v>
      </c>
      <c r="L6" s="1">
        <v>45322</v>
      </c>
    </row>
    <row r="7" spans="1:12" x14ac:dyDescent="0.25">
      <c r="A7" t="s">
        <v>33</v>
      </c>
      <c r="B7" t="s">
        <v>343</v>
      </c>
      <c r="C7">
        <v>2024</v>
      </c>
      <c r="D7">
        <v>30932</v>
      </c>
      <c r="E7">
        <v>18559</v>
      </c>
      <c r="F7">
        <v>6186</v>
      </c>
      <c r="G7">
        <v>0</v>
      </c>
      <c r="H7">
        <v>55677</v>
      </c>
      <c r="I7">
        <v>5567</v>
      </c>
      <c r="J7">
        <v>50110</v>
      </c>
      <c r="K7" t="s">
        <v>344</v>
      </c>
      <c r="L7" s="1">
        <v>45322</v>
      </c>
    </row>
    <row r="8" spans="1:12" x14ac:dyDescent="0.25">
      <c r="A8" t="s">
        <v>37</v>
      </c>
      <c r="B8" t="s">
        <v>343</v>
      </c>
      <c r="C8">
        <v>2024</v>
      </c>
      <c r="D8">
        <v>54765</v>
      </c>
      <c r="E8">
        <v>32859</v>
      </c>
      <c r="F8">
        <v>10953</v>
      </c>
      <c r="G8">
        <v>0</v>
      </c>
      <c r="H8">
        <v>98577</v>
      </c>
      <c r="I8">
        <v>9857</v>
      </c>
      <c r="J8">
        <v>88720</v>
      </c>
      <c r="K8" t="s">
        <v>344</v>
      </c>
      <c r="L8" s="1">
        <v>45322</v>
      </c>
    </row>
    <row r="9" spans="1:12" x14ac:dyDescent="0.25">
      <c r="A9" t="s">
        <v>39</v>
      </c>
      <c r="B9" t="s">
        <v>343</v>
      </c>
      <c r="C9">
        <v>2024</v>
      </c>
      <c r="D9">
        <v>12790</v>
      </c>
      <c r="E9">
        <v>7674</v>
      </c>
      <c r="F9">
        <v>2558</v>
      </c>
      <c r="G9">
        <v>0</v>
      </c>
      <c r="H9">
        <v>23022</v>
      </c>
      <c r="I9">
        <v>2302</v>
      </c>
      <c r="J9">
        <v>20720</v>
      </c>
      <c r="K9" t="s">
        <v>344</v>
      </c>
      <c r="L9" s="1">
        <v>45322</v>
      </c>
    </row>
    <row r="10" spans="1:12" x14ac:dyDescent="0.25">
      <c r="A10" t="s">
        <v>42</v>
      </c>
      <c r="B10" t="s">
        <v>343</v>
      </c>
      <c r="C10">
        <v>2024</v>
      </c>
      <c r="D10">
        <v>20542</v>
      </c>
      <c r="E10">
        <v>12325</v>
      </c>
      <c r="F10">
        <v>4108</v>
      </c>
      <c r="G10">
        <v>0</v>
      </c>
      <c r="H10">
        <v>36975</v>
      </c>
      <c r="I10">
        <v>3697</v>
      </c>
      <c r="J10">
        <v>33278</v>
      </c>
      <c r="K10" t="s">
        <v>344</v>
      </c>
      <c r="L10" s="1">
        <v>45322</v>
      </c>
    </row>
    <row r="11" spans="1:12" x14ac:dyDescent="0.25">
      <c r="A11" t="s">
        <v>45</v>
      </c>
      <c r="B11" t="s">
        <v>343</v>
      </c>
      <c r="C11">
        <v>2024</v>
      </c>
      <c r="D11">
        <v>46223</v>
      </c>
      <c r="E11">
        <v>27734</v>
      </c>
      <c r="F11">
        <v>9244</v>
      </c>
      <c r="G11">
        <v>0</v>
      </c>
      <c r="H11">
        <v>83201</v>
      </c>
      <c r="I11">
        <v>8320</v>
      </c>
      <c r="J11">
        <v>74881</v>
      </c>
      <c r="K11" t="s">
        <v>344</v>
      </c>
      <c r="L11" s="1">
        <v>45322</v>
      </c>
    </row>
    <row r="12" spans="1:12" x14ac:dyDescent="0.25">
      <c r="A12" t="s">
        <v>47</v>
      </c>
      <c r="B12" t="s">
        <v>343</v>
      </c>
      <c r="C12">
        <v>2024</v>
      </c>
      <c r="D12">
        <v>39645</v>
      </c>
      <c r="E12">
        <v>23787</v>
      </c>
      <c r="F12">
        <v>7929</v>
      </c>
      <c r="G12">
        <v>0</v>
      </c>
      <c r="H12">
        <v>71361</v>
      </c>
      <c r="I12">
        <v>7136</v>
      </c>
      <c r="J12">
        <v>64225</v>
      </c>
      <c r="K12" t="s">
        <v>344</v>
      </c>
      <c r="L12" s="1">
        <v>45322</v>
      </c>
    </row>
    <row r="13" spans="1:12" x14ac:dyDescent="0.25">
      <c r="A13" t="s">
        <v>48</v>
      </c>
      <c r="B13" t="s">
        <v>343</v>
      </c>
      <c r="C13">
        <v>2024</v>
      </c>
      <c r="D13">
        <v>22366</v>
      </c>
      <c r="E13">
        <v>13419</v>
      </c>
      <c r="F13">
        <v>4473</v>
      </c>
      <c r="G13">
        <v>4455</v>
      </c>
      <c r="H13">
        <v>44713</v>
      </c>
      <c r="I13">
        <v>4471</v>
      </c>
      <c r="J13">
        <v>40242</v>
      </c>
      <c r="K13" t="s">
        <v>344</v>
      </c>
      <c r="L13" s="1">
        <v>45322</v>
      </c>
    </row>
    <row r="14" spans="1:12" x14ac:dyDescent="0.25">
      <c r="A14" t="s">
        <v>50</v>
      </c>
      <c r="B14" t="s">
        <v>343</v>
      </c>
      <c r="C14">
        <v>2024</v>
      </c>
      <c r="D14">
        <v>18612</v>
      </c>
      <c r="E14">
        <v>11167</v>
      </c>
      <c r="F14">
        <v>3722</v>
      </c>
      <c r="G14">
        <v>2937</v>
      </c>
      <c r="H14">
        <v>36438</v>
      </c>
      <c r="I14">
        <v>3643</v>
      </c>
      <c r="J14">
        <v>32795</v>
      </c>
      <c r="K14" t="s">
        <v>344</v>
      </c>
      <c r="L14" s="1">
        <v>45322</v>
      </c>
    </row>
    <row r="15" spans="1:12" x14ac:dyDescent="0.25">
      <c r="A15" t="s">
        <v>51</v>
      </c>
      <c r="B15" t="s">
        <v>343</v>
      </c>
      <c r="C15">
        <v>2024</v>
      </c>
      <c r="D15">
        <v>23763</v>
      </c>
      <c r="E15">
        <v>14257</v>
      </c>
      <c r="F15">
        <v>4752</v>
      </c>
      <c r="G15">
        <v>0</v>
      </c>
      <c r="H15">
        <v>42772</v>
      </c>
      <c r="I15">
        <v>4277</v>
      </c>
      <c r="J15">
        <v>38495</v>
      </c>
      <c r="K15" t="s">
        <v>344</v>
      </c>
      <c r="L15" s="1">
        <v>45322</v>
      </c>
    </row>
    <row r="16" spans="1:12" x14ac:dyDescent="0.25">
      <c r="A16" t="s">
        <v>53</v>
      </c>
      <c r="B16" t="s">
        <v>343</v>
      </c>
      <c r="C16">
        <v>2024</v>
      </c>
      <c r="D16">
        <v>19663</v>
      </c>
      <c r="E16">
        <v>11798</v>
      </c>
      <c r="F16">
        <v>3932</v>
      </c>
      <c r="G16">
        <v>0</v>
      </c>
      <c r="H16">
        <v>35393</v>
      </c>
      <c r="I16">
        <v>3539</v>
      </c>
      <c r="J16">
        <v>31854</v>
      </c>
      <c r="K16" t="s">
        <v>344</v>
      </c>
      <c r="L16" s="1">
        <v>45322</v>
      </c>
    </row>
    <row r="17" spans="1:12" x14ac:dyDescent="0.25">
      <c r="A17" t="s">
        <v>54</v>
      </c>
      <c r="B17" t="s">
        <v>343</v>
      </c>
      <c r="C17">
        <v>2024</v>
      </c>
      <c r="D17">
        <v>51225</v>
      </c>
      <c r="E17">
        <v>30735</v>
      </c>
      <c r="F17">
        <v>10245</v>
      </c>
      <c r="G17">
        <v>0</v>
      </c>
      <c r="H17">
        <v>92205</v>
      </c>
      <c r="I17">
        <v>9220</v>
      </c>
      <c r="J17">
        <v>82985</v>
      </c>
      <c r="K17" t="s">
        <v>344</v>
      </c>
      <c r="L17" s="1">
        <v>45322</v>
      </c>
    </row>
    <row r="18" spans="1:12" x14ac:dyDescent="0.25">
      <c r="A18" t="s">
        <v>55</v>
      </c>
      <c r="B18" t="s">
        <v>343</v>
      </c>
      <c r="C18">
        <v>2024</v>
      </c>
      <c r="D18">
        <v>21082</v>
      </c>
      <c r="E18">
        <v>12649</v>
      </c>
      <c r="F18">
        <v>4216</v>
      </c>
      <c r="G18">
        <v>0</v>
      </c>
      <c r="H18">
        <v>37947</v>
      </c>
      <c r="I18">
        <v>3794</v>
      </c>
      <c r="J18">
        <v>34153</v>
      </c>
      <c r="K18" t="s">
        <v>344</v>
      </c>
      <c r="L18" s="1">
        <v>45322</v>
      </c>
    </row>
    <row r="19" spans="1:12" x14ac:dyDescent="0.25">
      <c r="A19" t="s">
        <v>58</v>
      </c>
      <c r="B19" t="s">
        <v>343</v>
      </c>
      <c r="C19">
        <v>2024</v>
      </c>
      <c r="D19">
        <v>39742</v>
      </c>
      <c r="E19">
        <v>23845</v>
      </c>
      <c r="F19">
        <v>7948</v>
      </c>
      <c r="G19">
        <v>0</v>
      </c>
      <c r="H19">
        <v>71535</v>
      </c>
      <c r="I19">
        <v>7153</v>
      </c>
      <c r="J19">
        <v>64382</v>
      </c>
      <c r="K19" t="s">
        <v>344</v>
      </c>
      <c r="L19" s="1">
        <v>45322</v>
      </c>
    </row>
    <row r="20" spans="1:12" x14ac:dyDescent="0.25">
      <c r="A20" t="s">
        <v>59</v>
      </c>
      <c r="B20" t="s">
        <v>343</v>
      </c>
      <c r="C20">
        <v>2024</v>
      </c>
      <c r="D20">
        <v>49594</v>
      </c>
      <c r="E20">
        <v>29756</v>
      </c>
      <c r="F20">
        <v>9918</v>
      </c>
      <c r="G20">
        <v>8761</v>
      </c>
      <c r="H20">
        <v>98029</v>
      </c>
      <c r="I20">
        <v>9802</v>
      </c>
      <c r="J20">
        <v>88227</v>
      </c>
      <c r="K20" t="s">
        <v>344</v>
      </c>
      <c r="L20" s="1">
        <v>45322</v>
      </c>
    </row>
    <row r="21" spans="1:12" x14ac:dyDescent="0.25">
      <c r="A21" t="s">
        <v>60</v>
      </c>
      <c r="B21" t="s">
        <v>343</v>
      </c>
      <c r="C21">
        <v>2024</v>
      </c>
      <c r="D21">
        <v>59860</v>
      </c>
      <c r="E21">
        <v>35916</v>
      </c>
      <c r="F21">
        <v>11972</v>
      </c>
      <c r="G21">
        <v>0</v>
      </c>
      <c r="H21">
        <v>107748</v>
      </c>
      <c r="I21">
        <v>10774</v>
      </c>
      <c r="J21">
        <v>96974</v>
      </c>
      <c r="K21" t="s">
        <v>344</v>
      </c>
      <c r="L21" s="1">
        <v>45322</v>
      </c>
    </row>
    <row r="22" spans="1:12" x14ac:dyDescent="0.25">
      <c r="A22" t="s">
        <v>61</v>
      </c>
      <c r="B22" t="s">
        <v>343</v>
      </c>
      <c r="C22">
        <v>2024</v>
      </c>
      <c r="D22">
        <v>17866</v>
      </c>
      <c r="E22">
        <v>10719</v>
      </c>
      <c r="F22">
        <v>3573</v>
      </c>
      <c r="G22">
        <v>0</v>
      </c>
      <c r="H22">
        <v>32158</v>
      </c>
      <c r="I22">
        <v>3215</v>
      </c>
      <c r="J22">
        <v>28943</v>
      </c>
      <c r="K22" t="s">
        <v>344</v>
      </c>
      <c r="L22" s="1">
        <v>45322</v>
      </c>
    </row>
    <row r="23" spans="1:12" x14ac:dyDescent="0.25">
      <c r="A23" t="s">
        <v>62</v>
      </c>
      <c r="B23" t="s">
        <v>343</v>
      </c>
      <c r="C23">
        <v>2024</v>
      </c>
      <c r="D23">
        <v>44547</v>
      </c>
      <c r="E23">
        <v>26728</v>
      </c>
      <c r="F23">
        <v>8909</v>
      </c>
      <c r="G23">
        <v>0</v>
      </c>
      <c r="H23">
        <v>80184</v>
      </c>
      <c r="I23">
        <v>8018</v>
      </c>
      <c r="J23">
        <v>72166</v>
      </c>
      <c r="K23" t="s">
        <v>344</v>
      </c>
      <c r="L23" s="1">
        <v>45322</v>
      </c>
    </row>
    <row r="24" spans="1:12" x14ac:dyDescent="0.25">
      <c r="A24" t="s">
        <v>63</v>
      </c>
      <c r="B24" t="s">
        <v>343</v>
      </c>
      <c r="C24">
        <v>2024</v>
      </c>
      <c r="D24">
        <v>58303</v>
      </c>
      <c r="E24">
        <v>34981</v>
      </c>
      <c r="F24">
        <v>11660</v>
      </c>
      <c r="G24">
        <v>8339</v>
      </c>
      <c r="H24">
        <v>113283</v>
      </c>
      <c r="I24">
        <v>11328</v>
      </c>
      <c r="J24">
        <v>101955</v>
      </c>
      <c r="K24" t="s">
        <v>344</v>
      </c>
      <c r="L24" s="1">
        <v>45322</v>
      </c>
    </row>
    <row r="25" spans="1:12" x14ac:dyDescent="0.25">
      <c r="A25" t="s">
        <v>64</v>
      </c>
      <c r="B25" t="s">
        <v>343</v>
      </c>
      <c r="C25">
        <v>2024</v>
      </c>
      <c r="D25">
        <v>19752</v>
      </c>
      <c r="E25">
        <v>11851</v>
      </c>
      <c r="F25">
        <v>3950</v>
      </c>
      <c r="G25">
        <v>5605</v>
      </c>
      <c r="H25">
        <v>41158</v>
      </c>
      <c r="I25">
        <v>4115</v>
      </c>
      <c r="J25">
        <v>37043</v>
      </c>
      <c r="K25" t="s">
        <v>344</v>
      </c>
      <c r="L25" s="1">
        <v>45322</v>
      </c>
    </row>
    <row r="26" spans="1:12" x14ac:dyDescent="0.25">
      <c r="A26" t="s">
        <v>65</v>
      </c>
      <c r="B26" t="s">
        <v>343</v>
      </c>
      <c r="C26">
        <v>2024</v>
      </c>
      <c r="D26">
        <v>39588</v>
      </c>
      <c r="E26">
        <v>23753</v>
      </c>
      <c r="F26">
        <v>7917</v>
      </c>
      <c r="G26">
        <v>0</v>
      </c>
      <c r="H26">
        <v>71258</v>
      </c>
      <c r="I26">
        <v>7125</v>
      </c>
      <c r="J26">
        <v>64133</v>
      </c>
      <c r="K26" t="s">
        <v>344</v>
      </c>
      <c r="L26" s="1">
        <v>45322</v>
      </c>
    </row>
    <row r="27" spans="1:12" x14ac:dyDescent="0.25">
      <c r="A27" t="s">
        <v>66</v>
      </c>
      <c r="B27" t="s">
        <v>343</v>
      </c>
      <c r="C27">
        <v>2024</v>
      </c>
      <c r="D27">
        <v>43877</v>
      </c>
      <c r="E27">
        <v>26326</v>
      </c>
      <c r="F27">
        <v>8775</v>
      </c>
      <c r="G27">
        <v>0</v>
      </c>
      <c r="H27">
        <v>78978</v>
      </c>
      <c r="I27">
        <v>7897</v>
      </c>
      <c r="J27">
        <v>71081</v>
      </c>
      <c r="K27" t="s">
        <v>344</v>
      </c>
      <c r="L27" s="1">
        <v>45322</v>
      </c>
    </row>
    <row r="28" spans="1:12" x14ac:dyDescent="0.25">
      <c r="A28" t="s">
        <v>67</v>
      </c>
      <c r="B28" t="s">
        <v>343</v>
      </c>
      <c r="C28">
        <v>2024</v>
      </c>
      <c r="D28">
        <v>59794</v>
      </c>
      <c r="E28">
        <v>35876</v>
      </c>
      <c r="F28">
        <v>11958</v>
      </c>
      <c r="G28">
        <v>0</v>
      </c>
      <c r="H28">
        <v>107628</v>
      </c>
      <c r="I28">
        <v>10762</v>
      </c>
      <c r="J28">
        <v>96866</v>
      </c>
      <c r="K28" t="s">
        <v>344</v>
      </c>
      <c r="L28" s="1">
        <v>45322</v>
      </c>
    </row>
    <row r="29" spans="1:12" x14ac:dyDescent="0.25">
      <c r="A29" t="s">
        <v>68</v>
      </c>
      <c r="B29" t="s">
        <v>343</v>
      </c>
      <c r="C29">
        <v>2024</v>
      </c>
      <c r="D29">
        <v>48322</v>
      </c>
      <c r="E29">
        <v>28993</v>
      </c>
      <c r="F29">
        <v>9664</v>
      </c>
      <c r="G29">
        <v>5349</v>
      </c>
      <c r="H29">
        <v>92328</v>
      </c>
      <c r="I29">
        <v>9232</v>
      </c>
      <c r="J29">
        <v>83096</v>
      </c>
      <c r="K29" t="s">
        <v>344</v>
      </c>
      <c r="L29" s="1">
        <v>45322</v>
      </c>
    </row>
    <row r="30" spans="1:12" x14ac:dyDescent="0.25">
      <c r="A30" t="s">
        <v>69</v>
      </c>
      <c r="B30" t="s">
        <v>343</v>
      </c>
      <c r="C30">
        <v>2024</v>
      </c>
      <c r="D30">
        <v>38714</v>
      </c>
      <c r="E30">
        <v>23228</v>
      </c>
      <c r="F30">
        <v>7742</v>
      </c>
      <c r="G30">
        <v>0</v>
      </c>
      <c r="H30">
        <v>69684</v>
      </c>
      <c r="I30">
        <v>6968</v>
      </c>
      <c r="J30">
        <v>62716</v>
      </c>
      <c r="K30" t="s">
        <v>344</v>
      </c>
      <c r="L30" s="1">
        <v>45322</v>
      </c>
    </row>
    <row r="31" spans="1:12" x14ac:dyDescent="0.25">
      <c r="A31" t="s">
        <v>70</v>
      </c>
      <c r="B31" t="s">
        <v>343</v>
      </c>
      <c r="C31">
        <v>2024</v>
      </c>
      <c r="D31">
        <v>54690</v>
      </c>
      <c r="E31">
        <v>32814</v>
      </c>
      <c r="F31">
        <v>10938</v>
      </c>
      <c r="G31">
        <v>4601</v>
      </c>
      <c r="H31">
        <v>103043</v>
      </c>
      <c r="I31">
        <v>10304</v>
      </c>
      <c r="J31">
        <v>92739</v>
      </c>
      <c r="K31" t="s">
        <v>344</v>
      </c>
      <c r="L31" s="1">
        <v>45322</v>
      </c>
    </row>
    <row r="32" spans="1:12" x14ac:dyDescent="0.25">
      <c r="A32" t="s">
        <v>71</v>
      </c>
      <c r="B32" t="s">
        <v>343</v>
      </c>
      <c r="C32">
        <v>2024</v>
      </c>
      <c r="D32">
        <v>43700</v>
      </c>
      <c r="E32">
        <v>26220</v>
      </c>
      <c r="F32">
        <v>8740</v>
      </c>
      <c r="G32">
        <v>0</v>
      </c>
      <c r="H32">
        <v>78660</v>
      </c>
      <c r="I32">
        <v>7866</v>
      </c>
      <c r="J32">
        <v>70794</v>
      </c>
      <c r="K32" t="s">
        <v>344</v>
      </c>
      <c r="L32" s="1">
        <v>45322</v>
      </c>
    </row>
    <row r="33" spans="1:12" x14ac:dyDescent="0.25">
      <c r="A33" t="s">
        <v>72</v>
      </c>
      <c r="B33" t="s">
        <v>343</v>
      </c>
      <c r="C33">
        <v>2024</v>
      </c>
      <c r="D33">
        <v>20090</v>
      </c>
      <c r="E33">
        <v>12054</v>
      </c>
      <c r="F33">
        <v>4018</v>
      </c>
      <c r="G33">
        <v>0</v>
      </c>
      <c r="H33">
        <v>36162</v>
      </c>
      <c r="I33">
        <v>3616</v>
      </c>
      <c r="J33">
        <v>32546</v>
      </c>
      <c r="K33" t="s">
        <v>344</v>
      </c>
      <c r="L33" s="1">
        <v>45322</v>
      </c>
    </row>
    <row r="34" spans="1:12" x14ac:dyDescent="0.25">
      <c r="A34" t="s">
        <v>73</v>
      </c>
      <c r="B34" t="s">
        <v>343</v>
      </c>
      <c r="C34">
        <v>2024</v>
      </c>
      <c r="D34">
        <v>35234</v>
      </c>
      <c r="E34">
        <v>21140</v>
      </c>
      <c r="F34">
        <v>7046</v>
      </c>
      <c r="G34">
        <v>4961</v>
      </c>
      <c r="H34">
        <v>68381</v>
      </c>
      <c r="I34">
        <v>6838</v>
      </c>
      <c r="J34">
        <v>61543</v>
      </c>
      <c r="K34" t="s">
        <v>344</v>
      </c>
      <c r="L34" s="1">
        <v>45322</v>
      </c>
    </row>
    <row r="35" spans="1:12" x14ac:dyDescent="0.25">
      <c r="A35" t="s">
        <v>75</v>
      </c>
      <c r="B35" t="s">
        <v>343</v>
      </c>
      <c r="C35">
        <v>2024</v>
      </c>
      <c r="D35">
        <v>43832</v>
      </c>
      <c r="E35">
        <v>26299</v>
      </c>
      <c r="F35">
        <v>8766</v>
      </c>
      <c r="G35">
        <v>7055</v>
      </c>
      <c r="H35">
        <v>85952</v>
      </c>
      <c r="I35">
        <v>8595</v>
      </c>
      <c r="J35">
        <v>77357</v>
      </c>
      <c r="K35" t="s">
        <v>344</v>
      </c>
      <c r="L35" s="1">
        <v>45322</v>
      </c>
    </row>
    <row r="36" spans="1:12" x14ac:dyDescent="0.25">
      <c r="A36" t="s">
        <v>76</v>
      </c>
      <c r="B36" t="s">
        <v>343</v>
      </c>
      <c r="C36">
        <v>2024</v>
      </c>
      <c r="D36">
        <v>16913</v>
      </c>
      <c r="E36">
        <v>10148</v>
      </c>
      <c r="F36">
        <v>3382</v>
      </c>
      <c r="G36">
        <v>0</v>
      </c>
      <c r="H36">
        <v>30443</v>
      </c>
      <c r="I36">
        <v>3044</v>
      </c>
      <c r="J36">
        <v>27399</v>
      </c>
      <c r="K36" t="s">
        <v>344</v>
      </c>
      <c r="L36" s="1">
        <v>45322</v>
      </c>
    </row>
    <row r="37" spans="1:12" x14ac:dyDescent="0.25">
      <c r="A37" t="s">
        <v>77</v>
      </c>
      <c r="B37" t="s">
        <v>343</v>
      </c>
      <c r="C37">
        <v>2024</v>
      </c>
      <c r="D37">
        <v>39957</v>
      </c>
      <c r="E37">
        <v>23974</v>
      </c>
      <c r="F37">
        <v>7991</v>
      </c>
      <c r="G37">
        <v>9364</v>
      </c>
      <c r="H37">
        <v>81286</v>
      </c>
      <c r="I37">
        <v>8128</v>
      </c>
      <c r="J37">
        <v>73158</v>
      </c>
      <c r="K37" t="s">
        <v>344</v>
      </c>
      <c r="L37" s="1">
        <v>45322</v>
      </c>
    </row>
    <row r="38" spans="1:12" x14ac:dyDescent="0.25">
      <c r="A38" t="s">
        <v>78</v>
      </c>
      <c r="B38" t="s">
        <v>343</v>
      </c>
      <c r="C38">
        <v>2024</v>
      </c>
      <c r="D38">
        <v>20558</v>
      </c>
      <c r="E38">
        <v>12334</v>
      </c>
      <c r="F38">
        <v>4111</v>
      </c>
      <c r="G38">
        <v>0</v>
      </c>
      <c r="H38">
        <v>37003</v>
      </c>
      <c r="I38">
        <v>3700</v>
      </c>
      <c r="J38">
        <v>33303</v>
      </c>
      <c r="K38" t="s">
        <v>344</v>
      </c>
      <c r="L38" s="1">
        <v>45322</v>
      </c>
    </row>
    <row r="39" spans="1:12" x14ac:dyDescent="0.25">
      <c r="A39" t="s">
        <v>79</v>
      </c>
      <c r="B39" t="s">
        <v>343</v>
      </c>
      <c r="C39">
        <v>2024</v>
      </c>
      <c r="D39">
        <v>59964</v>
      </c>
      <c r="E39">
        <v>35978</v>
      </c>
      <c r="F39">
        <v>11992</v>
      </c>
      <c r="G39">
        <v>0</v>
      </c>
      <c r="H39">
        <v>107934</v>
      </c>
      <c r="I39">
        <v>10793</v>
      </c>
      <c r="J39">
        <v>97141</v>
      </c>
      <c r="K39" t="s">
        <v>344</v>
      </c>
      <c r="L39" s="1">
        <v>45322</v>
      </c>
    </row>
    <row r="40" spans="1:12" x14ac:dyDescent="0.25">
      <c r="A40" t="s">
        <v>80</v>
      </c>
      <c r="B40" t="s">
        <v>343</v>
      </c>
      <c r="C40">
        <v>2024</v>
      </c>
      <c r="D40">
        <v>22438</v>
      </c>
      <c r="E40">
        <v>13463</v>
      </c>
      <c r="F40">
        <v>4487</v>
      </c>
      <c r="G40">
        <v>0</v>
      </c>
      <c r="H40">
        <v>40388</v>
      </c>
      <c r="I40">
        <v>4038</v>
      </c>
      <c r="J40">
        <v>36350</v>
      </c>
      <c r="K40" t="s">
        <v>344</v>
      </c>
      <c r="L40" s="1">
        <v>45322</v>
      </c>
    </row>
    <row r="41" spans="1:12" x14ac:dyDescent="0.25">
      <c r="A41" t="s">
        <v>81</v>
      </c>
      <c r="B41" t="s">
        <v>343</v>
      </c>
      <c r="C41">
        <v>2024</v>
      </c>
      <c r="D41">
        <v>38535</v>
      </c>
      <c r="E41">
        <v>23121</v>
      </c>
      <c r="F41">
        <v>7707</v>
      </c>
      <c r="G41">
        <v>9673</v>
      </c>
      <c r="H41">
        <v>79036</v>
      </c>
      <c r="I41">
        <v>7903</v>
      </c>
      <c r="J41">
        <v>71133</v>
      </c>
      <c r="K41" t="s">
        <v>344</v>
      </c>
      <c r="L41" s="1">
        <v>45322</v>
      </c>
    </row>
    <row r="42" spans="1:12" x14ac:dyDescent="0.25">
      <c r="A42" t="s">
        <v>82</v>
      </c>
      <c r="B42" t="s">
        <v>343</v>
      </c>
      <c r="C42">
        <v>2024</v>
      </c>
      <c r="D42">
        <v>55917</v>
      </c>
      <c r="E42">
        <v>33550</v>
      </c>
      <c r="F42">
        <v>11183</v>
      </c>
      <c r="G42">
        <v>0</v>
      </c>
      <c r="H42">
        <v>100650</v>
      </c>
      <c r="I42">
        <v>10065</v>
      </c>
      <c r="J42">
        <v>90585</v>
      </c>
      <c r="K42" t="s">
        <v>344</v>
      </c>
      <c r="L42" s="1">
        <v>45322</v>
      </c>
    </row>
    <row r="43" spans="1:12" x14ac:dyDescent="0.25">
      <c r="A43" t="s">
        <v>84</v>
      </c>
      <c r="B43" t="s">
        <v>343</v>
      </c>
      <c r="C43">
        <v>2024</v>
      </c>
      <c r="D43">
        <v>58146</v>
      </c>
      <c r="E43">
        <v>34887</v>
      </c>
      <c r="F43">
        <v>11629</v>
      </c>
      <c r="G43">
        <v>9298</v>
      </c>
      <c r="H43">
        <v>113960</v>
      </c>
      <c r="I43">
        <v>11396</v>
      </c>
      <c r="J43">
        <v>102564</v>
      </c>
      <c r="K43" t="s">
        <v>344</v>
      </c>
      <c r="L43" s="1">
        <v>45322</v>
      </c>
    </row>
    <row r="44" spans="1:12" x14ac:dyDescent="0.25">
      <c r="A44" t="s">
        <v>85</v>
      </c>
      <c r="B44" t="s">
        <v>343</v>
      </c>
      <c r="C44">
        <v>2024</v>
      </c>
      <c r="D44">
        <v>53780</v>
      </c>
      <c r="E44">
        <v>32268</v>
      </c>
      <c r="F44">
        <v>10756</v>
      </c>
      <c r="G44">
        <v>3675</v>
      </c>
      <c r="H44">
        <v>100479</v>
      </c>
      <c r="I44">
        <v>10047</v>
      </c>
      <c r="J44">
        <v>90432</v>
      </c>
      <c r="K44" t="s">
        <v>344</v>
      </c>
      <c r="L44" s="1">
        <v>45322</v>
      </c>
    </row>
    <row r="45" spans="1:12" x14ac:dyDescent="0.25">
      <c r="A45" t="s">
        <v>86</v>
      </c>
      <c r="B45" t="s">
        <v>343</v>
      </c>
      <c r="C45">
        <v>2024</v>
      </c>
      <c r="D45">
        <v>40644</v>
      </c>
      <c r="E45">
        <v>24386</v>
      </c>
      <c r="F45">
        <v>8128</v>
      </c>
      <c r="G45">
        <v>0</v>
      </c>
      <c r="H45">
        <v>73158</v>
      </c>
      <c r="I45">
        <v>7315</v>
      </c>
      <c r="J45">
        <v>65843</v>
      </c>
      <c r="K45" t="s">
        <v>344</v>
      </c>
      <c r="L45" s="1">
        <v>45322</v>
      </c>
    </row>
    <row r="46" spans="1:12" x14ac:dyDescent="0.25">
      <c r="A46" t="s">
        <v>87</v>
      </c>
      <c r="B46" t="s">
        <v>343</v>
      </c>
      <c r="C46">
        <v>2024</v>
      </c>
      <c r="D46">
        <v>62353</v>
      </c>
      <c r="E46">
        <v>37411</v>
      </c>
      <c r="F46">
        <v>12470</v>
      </c>
      <c r="G46">
        <v>0</v>
      </c>
      <c r="H46">
        <v>112234</v>
      </c>
      <c r="I46">
        <v>11223</v>
      </c>
      <c r="J46">
        <v>101011</v>
      </c>
      <c r="K46" t="s">
        <v>344</v>
      </c>
      <c r="L46" s="1">
        <v>45322</v>
      </c>
    </row>
    <row r="47" spans="1:12" x14ac:dyDescent="0.25">
      <c r="A47" t="s">
        <v>88</v>
      </c>
      <c r="B47" t="s">
        <v>343</v>
      </c>
      <c r="C47">
        <v>2024</v>
      </c>
      <c r="D47">
        <v>41378</v>
      </c>
      <c r="E47">
        <v>24827</v>
      </c>
      <c r="F47">
        <v>8275</v>
      </c>
      <c r="G47">
        <v>0</v>
      </c>
      <c r="H47">
        <v>74480</v>
      </c>
      <c r="I47">
        <v>7448</v>
      </c>
      <c r="J47">
        <v>67032</v>
      </c>
      <c r="K47" t="s">
        <v>344</v>
      </c>
      <c r="L47" s="1">
        <v>45322</v>
      </c>
    </row>
    <row r="48" spans="1:12" x14ac:dyDescent="0.25">
      <c r="A48" t="s">
        <v>89</v>
      </c>
      <c r="B48" t="s">
        <v>343</v>
      </c>
      <c r="C48">
        <v>2024</v>
      </c>
      <c r="D48">
        <v>34088</v>
      </c>
      <c r="E48">
        <v>20453</v>
      </c>
      <c r="F48">
        <v>6817</v>
      </c>
      <c r="G48">
        <v>9492</v>
      </c>
      <c r="H48">
        <v>70850</v>
      </c>
      <c r="I48">
        <v>7085</v>
      </c>
      <c r="J48">
        <v>63765</v>
      </c>
      <c r="K48" t="s">
        <v>344</v>
      </c>
      <c r="L48" s="1">
        <v>45322</v>
      </c>
    </row>
    <row r="49" spans="1:12" x14ac:dyDescent="0.25">
      <c r="A49" t="s">
        <v>90</v>
      </c>
      <c r="B49" t="s">
        <v>343</v>
      </c>
      <c r="C49">
        <v>2024</v>
      </c>
      <c r="D49">
        <v>31750</v>
      </c>
      <c r="E49">
        <v>19050</v>
      </c>
      <c r="F49">
        <v>6350</v>
      </c>
      <c r="G49">
        <v>0</v>
      </c>
      <c r="H49">
        <v>57150</v>
      </c>
      <c r="I49">
        <v>5715</v>
      </c>
      <c r="J49">
        <v>51435</v>
      </c>
      <c r="K49" t="s">
        <v>344</v>
      </c>
      <c r="L49" s="1">
        <v>45322</v>
      </c>
    </row>
    <row r="50" spans="1:12" x14ac:dyDescent="0.25">
      <c r="A50" t="s">
        <v>91</v>
      </c>
      <c r="B50" t="s">
        <v>343</v>
      </c>
      <c r="C50">
        <v>2024</v>
      </c>
      <c r="D50">
        <v>28497</v>
      </c>
      <c r="E50">
        <v>17098</v>
      </c>
      <c r="F50">
        <v>5699</v>
      </c>
      <c r="G50">
        <v>0</v>
      </c>
      <c r="H50">
        <v>51294</v>
      </c>
      <c r="I50">
        <v>5129</v>
      </c>
      <c r="J50">
        <v>46165</v>
      </c>
      <c r="K50" t="s">
        <v>344</v>
      </c>
      <c r="L50" s="1">
        <v>45322</v>
      </c>
    </row>
    <row r="51" spans="1:12" x14ac:dyDescent="0.25">
      <c r="A51" t="s">
        <v>92</v>
      </c>
      <c r="B51" t="s">
        <v>343</v>
      </c>
      <c r="C51">
        <v>2024</v>
      </c>
      <c r="D51">
        <v>35517</v>
      </c>
      <c r="E51">
        <v>21310</v>
      </c>
      <c r="F51">
        <v>7103</v>
      </c>
      <c r="G51">
        <v>0</v>
      </c>
      <c r="H51">
        <v>63930</v>
      </c>
      <c r="I51">
        <v>6393</v>
      </c>
      <c r="J51">
        <v>57537</v>
      </c>
      <c r="K51" t="s">
        <v>344</v>
      </c>
      <c r="L51" s="1">
        <v>45322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EB1C-001C-46F8-9323-241E19A88E6D}">
  <dimension ref="A1:K31"/>
  <sheetViews>
    <sheetView topLeftCell="A2" workbookViewId="0">
      <selection sqref="A1:K31"/>
    </sheetView>
  </sheetViews>
  <sheetFormatPr defaultRowHeight="15" x14ac:dyDescent="0.25"/>
  <cols>
    <col min="1" max="1" width="11.140625" bestFit="1" customWidth="1"/>
    <col min="2" max="2" width="18.7109375" bestFit="1" customWidth="1"/>
    <col min="3" max="3" width="22.28515625" bestFit="1" customWidth="1"/>
    <col min="4" max="4" width="13.140625" bestFit="1" customWidth="1"/>
    <col min="5" max="5" width="18.7109375" bestFit="1" customWidth="1"/>
    <col min="6" max="6" width="20.140625" bestFit="1" customWidth="1"/>
    <col min="7" max="7" width="17.140625" bestFit="1" customWidth="1"/>
    <col min="8" max="8" width="18.42578125" bestFit="1" customWidth="1"/>
    <col min="9" max="9" width="19.28515625" bestFit="1" customWidth="1"/>
    <col min="10" max="10" width="18.42578125" bestFit="1" customWidth="1"/>
    <col min="11" max="11" width="19.5703125" bestFit="1" customWidth="1"/>
    <col min="12" max="13" width="18.42578125" customWidth="1"/>
  </cols>
  <sheetData>
    <row r="1" spans="1:11" x14ac:dyDescent="0.25">
      <c r="A1" t="s">
        <v>345</v>
      </c>
      <c r="B1" t="s">
        <v>346</v>
      </c>
      <c r="C1" t="s">
        <v>347</v>
      </c>
      <c r="D1" t="s">
        <v>348</v>
      </c>
      <c r="E1" t="s">
        <v>349</v>
      </c>
      <c r="F1" t="s">
        <v>538</v>
      </c>
      <c r="G1" t="s">
        <v>350</v>
      </c>
      <c r="H1" t="s">
        <v>537</v>
      </c>
      <c r="I1" t="s">
        <v>351</v>
      </c>
      <c r="J1" t="s">
        <v>352</v>
      </c>
      <c r="K1" t="s">
        <v>536</v>
      </c>
    </row>
    <row r="2" spans="1:11" x14ac:dyDescent="0.25">
      <c r="A2" t="s">
        <v>353</v>
      </c>
      <c r="B2" t="s">
        <v>15</v>
      </c>
      <c r="C2" t="s">
        <v>32</v>
      </c>
      <c r="D2">
        <v>11.7</v>
      </c>
      <c r="E2" s="1">
        <v>45094</v>
      </c>
      <c r="F2" s="1" t="str">
        <f>TEXT(Recruitment_Updated[[#This Row],[Application_Date]],"MMM-YYYY")</f>
        <v>Jun-2023</v>
      </c>
      <c r="G2" s="1">
        <v>45101</v>
      </c>
      <c r="H2" s="1" t="str">
        <f>TEXT(Recruitment_Updated[[#This Row],[Interview_Date]],"mm-YYYY")</f>
        <v>06-2023</v>
      </c>
      <c r="I2" t="s">
        <v>354</v>
      </c>
      <c r="J2" t="s">
        <v>355</v>
      </c>
      <c r="K2" s="1" t="str">
        <f>IF(Recruitment_Updated[[#This Row],[Interview_Status]]="Rejected","Rejected",
IF(Recruitment_Updated[[#This Row],[Interview_Status]]="On Hold","In Progress",
IF(Recruitment_Updated[[#This Row],[Interview_Status]]="Shortlisted","Shortlisted",
IF(Recruitment_Updated[[#This Row],[Interview_Status]]="Offered","Final Stage",""))))</f>
        <v>In Progress</v>
      </c>
    </row>
    <row r="3" spans="1:11" x14ac:dyDescent="0.25">
      <c r="A3" t="s">
        <v>356</v>
      </c>
      <c r="B3" t="s">
        <v>46</v>
      </c>
      <c r="C3" t="s">
        <v>52</v>
      </c>
      <c r="D3">
        <v>8.5</v>
      </c>
      <c r="E3" s="1">
        <v>45253</v>
      </c>
      <c r="F3" s="1" t="str">
        <f>TEXT(Recruitment_Updated[[#This Row],[Application_Date]],"MMM-YYYY")</f>
        <v>Nov-2023</v>
      </c>
      <c r="G3" s="1">
        <v>45255</v>
      </c>
      <c r="H3" s="1" t="str">
        <f>TEXT(Recruitment_Updated[[#This Row],[Interview_Date]],"mm-YYYY")</f>
        <v>11-2023</v>
      </c>
      <c r="I3" t="s">
        <v>357</v>
      </c>
      <c r="J3" t="s">
        <v>358</v>
      </c>
      <c r="K3" s="1" t="str">
        <f>IF(Recruitment_Updated[[#This Row],[Interview_Status]]="Rejected","Rejected",
IF(Recruitment_Updated[[#This Row],[Interview_Status]]="On Hold","In Progress",
IF(Recruitment_Updated[[#This Row],[Interview_Status]]="Shortlisted","Shortlisted",
IF(Recruitment_Updated[[#This Row],[Interview_Status]]="Offered","Final Stage",""))))</f>
        <v>Shortlisted</v>
      </c>
    </row>
    <row r="4" spans="1:11" x14ac:dyDescent="0.25">
      <c r="A4" t="s">
        <v>359</v>
      </c>
      <c r="B4" t="s">
        <v>44</v>
      </c>
      <c r="C4" t="s">
        <v>40</v>
      </c>
      <c r="D4">
        <v>1.7</v>
      </c>
      <c r="E4" s="1">
        <v>45223</v>
      </c>
      <c r="F4" s="1" t="str">
        <f>TEXT(Recruitment_Updated[[#This Row],[Application_Date]],"MMM-YYYY")</f>
        <v>Oct-2023</v>
      </c>
      <c r="G4" s="1">
        <v>45236</v>
      </c>
      <c r="H4" s="1" t="str">
        <f>TEXT(Recruitment_Updated[[#This Row],[Interview_Date]],"mm-YYYY")</f>
        <v>11-2023</v>
      </c>
      <c r="I4" t="s">
        <v>357</v>
      </c>
      <c r="J4" t="s">
        <v>360</v>
      </c>
      <c r="K4" s="1" t="str">
        <f>IF(Recruitment_Updated[[#This Row],[Interview_Status]]="Rejected","Rejected",
IF(Recruitment_Updated[[#This Row],[Interview_Status]]="On Hold","In Progress",
IF(Recruitment_Updated[[#This Row],[Interview_Status]]="Shortlisted","Shortlisted",
IF(Recruitment_Updated[[#This Row],[Interview_Status]]="Offered","Final Stage",""))))</f>
        <v>Final Stage</v>
      </c>
    </row>
    <row r="5" spans="1:11" x14ac:dyDescent="0.25">
      <c r="A5" t="s">
        <v>361</v>
      </c>
      <c r="B5" t="s">
        <v>49</v>
      </c>
      <c r="C5" t="s">
        <v>57</v>
      </c>
      <c r="D5">
        <v>3</v>
      </c>
      <c r="E5" s="1">
        <v>44993</v>
      </c>
      <c r="F5" s="1" t="str">
        <f>TEXT(Recruitment_Updated[[#This Row],[Application_Date]],"MMM-YYYY")</f>
        <v>Mar-2023</v>
      </c>
      <c r="G5" s="1">
        <v>44996</v>
      </c>
      <c r="H5" s="1" t="str">
        <f>TEXT(Recruitment_Updated[[#This Row],[Interview_Date]],"mm-YYYY")</f>
        <v>03-2023</v>
      </c>
      <c r="I5" t="s">
        <v>362</v>
      </c>
      <c r="J5" t="s">
        <v>358</v>
      </c>
      <c r="K5" s="1" t="str">
        <f>IF(Recruitment_Updated[[#This Row],[Interview_Status]]="Rejected","Rejected",
IF(Recruitment_Updated[[#This Row],[Interview_Status]]="On Hold","In Progress",
IF(Recruitment_Updated[[#This Row],[Interview_Status]]="Shortlisted","Shortlisted",
IF(Recruitment_Updated[[#This Row],[Interview_Status]]="Offered","Final Stage",""))))</f>
        <v>Shortlisted</v>
      </c>
    </row>
    <row r="6" spans="1:11" x14ac:dyDescent="0.25">
      <c r="A6" t="s">
        <v>363</v>
      </c>
      <c r="B6" t="s">
        <v>49</v>
      </c>
      <c r="C6" t="s">
        <v>32</v>
      </c>
      <c r="D6">
        <v>0.4</v>
      </c>
      <c r="E6" s="1">
        <v>45272</v>
      </c>
      <c r="F6" s="1" t="str">
        <f>TEXT(Recruitment_Updated[[#This Row],[Application_Date]],"MMM-YYYY")</f>
        <v>Dec-2023</v>
      </c>
      <c r="G6" s="1">
        <v>45286</v>
      </c>
      <c r="H6" s="1" t="str">
        <f>TEXT(Recruitment_Updated[[#This Row],[Interview_Date]],"mm-YYYY")</f>
        <v>12-2023</v>
      </c>
      <c r="I6" t="s">
        <v>364</v>
      </c>
      <c r="J6" t="s">
        <v>360</v>
      </c>
      <c r="K6" s="1" t="str">
        <f>IF(Recruitment_Updated[[#This Row],[Interview_Status]]="Rejected","Rejected",
IF(Recruitment_Updated[[#This Row],[Interview_Status]]="On Hold","In Progress",
IF(Recruitment_Updated[[#This Row],[Interview_Status]]="Shortlisted","Shortlisted",
IF(Recruitment_Updated[[#This Row],[Interview_Status]]="Offered","Final Stage",""))))</f>
        <v>Final Stage</v>
      </c>
    </row>
    <row r="7" spans="1:11" x14ac:dyDescent="0.25">
      <c r="A7" t="s">
        <v>365</v>
      </c>
      <c r="B7" t="s">
        <v>44</v>
      </c>
      <c r="C7" t="s">
        <v>14</v>
      </c>
      <c r="D7">
        <v>5.0999999999999996</v>
      </c>
      <c r="E7" s="1">
        <v>44930</v>
      </c>
      <c r="F7" s="1" t="str">
        <f>TEXT(Recruitment_Updated[[#This Row],[Application_Date]],"MMM-YYYY")</f>
        <v>Jan-2023</v>
      </c>
      <c r="G7" s="1">
        <v>44937</v>
      </c>
      <c r="H7" s="1" t="str">
        <f>TEXT(Recruitment_Updated[[#This Row],[Interview_Date]],"mm-YYYY")</f>
        <v>01-2023</v>
      </c>
      <c r="I7" t="s">
        <v>354</v>
      </c>
      <c r="J7" t="s">
        <v>355</v>
      </c>
      <c r="K7" s="1" t="str">
        <f>IF(Recruitment_Updated[[#This Row],[Interview_Status]]="Rejected","Rejected",
IF(Recruitment_Updated[[#This Row],[Interview_Status]]="On Hold","In Progress",
IF(Recruitment_Updated[[#This Row],[Interview_Status]]="Shortlisted","Shortlisted",
IF(Recruitment_Updated[[#This Row],[Interview_Status]]="Offered","Final Stage",""))))</f>
        <v>In Progress</v>
      </c>
    </row>
    <row r="8" spans="1:11" x14ac:dyDescent="0.25">
      <c r="A8" t="s">
        <v>366</v>
      </c>
      <c r="B8" t="s">
        <v>46</v>
      </c>
      <c r="C8" t="s">
        <v>25</v>
      </c>
      <c r="D8">
        <v>5.7</v>
      </c>
      <c r="E8" s="1">
        <v>45005</v>
      </c>
      <c r="F8" s="1" t="str">
        <f>TEXT(Recruitment_Updated[[#This Row],[Application_Date]],"MMM-YYYY")</f>
        <v>Mar-2023</v>
      </c>
      <c r="G8" s="1">
        <v>45014</v>
      </c>
      <c r="H8" s="1" t="str">
        <f>TEXT(Recruitment_Updated[[#This Row],[Interview_Date]],"mm-YYYY")</f>
        <v>03-2023</v>
      </c>
      <c r="I8" t="s">
        <v>357</v>
      </c>
      <c r="J8" t="s">
        <v>360</v>
      </c>
      <c r="K8" s="1" t="str">
        <f>IF(Recruitment_Updated[[#This Row],[Interview_Status]]="Rejected","Rejected",
IF(Recruitment_Updated[[#This Row],[Interview_Status]]="On Hold","In Progress",
IF(Recruitment_Updated[[#This Row],[Interview_Status]]="Shortlisted","Shortlisted",
IF(Recruitment_Updated[[#This Row],[Interview_Status]]="Offered","Final Stage",""))))</f>
        <v>Final Stage</v>
      </c>
    </row>
    <row r="9" spans="1:11" x14ac:dyDescent="0.25">
      <c r="A9" t="s">
        <v>367</v>
      </c>
      <c r="B9" t="s">
        <v>41</v>
      </c>
      <c r="C9" t="s">
        <v>32</v>
      </c>
      <c r="D9">
        <v>4.9000000000000004</v>
      </c>
      <c r="E9" s="1">
        <v>45182</v>
      </c>
      <c r="F9" s="1" t="str">
        <f>TEXT(Recruitment_Updated[[#This Row],[Application_Date]],"MMM-YYYY")</f>
        <v>Sep-2023</v>
      </c>
      <c r="G9" s="1">
        <v>45189</v>
      </c>
      <c r="H9" s="1" t="str">
        <f>TEXT(Recruitment_Updated[[#This Row],[Interview_Date]],"mm-YYYY")</f>
        <v>09-2023</v>
      </c>
      <c r="I9" t="s">
        <v>362</v>
      </c>
      <c r="J9" t="s">
        <v>355</v>
      </c>
      <c r="K9" s="1" t="str">
        <f>IF(Recruitment_Updated[[#This Row],[Interview_Status]]="Rejected","Rejected",
IF(Recruitment_Updated[[#This Row],[Interview_Status]]="On Hold","In Progress",
IF(Recruitment_Updated[[#This Row],[Interview_Status]]="Shortlisted","Shortlisted",
IF(Recruitment_Updated[[#This Row],[Interview_Status]]="Offered","Final Stage",""))))</f>
        <v>In Progress</v>
      </c>
    </row>
    <row r="10" spans="1:11" x14ac:dyDescent="0.25">
      <c r="A10" t="s">
        <v>368</v>
      </c>
      <c r="B10" t="s">
        <v>44</v>
      </c>
      <c r="C10" t="s">
        <v>25</v>
      </c>
      <c r="D10">
        <v>3</v>
      </c>
      <c r="E10" s="1">
        <v>45235</v>
      </c>
      <c r="F10" s="1" t="str">
        <f>TEXT(Recruitment_Updated[[#This Row],[Application_Date]],"MMM-YYYY")</f>
        <v>Nov-2023</v>
      </c>
      <c r="G10" s="1">
        <v>45246</v>
      </c>
      <c r="H10" s="1" t="str">
        <f>TEXT(Recruitment_Updated[[#This Row],[Interview_Date]],"mm-YYYY")</f>
        <v>11-2023</v>
      </c>
      <c r="I10" t="s">
        <v>362</v>
      </c>
      <c r="J10" t="s">
        <v>360</v>
      </c>
      <c r="K10" s="1" t="str">
        <f>IF(Recruitment_Updated[[#This Row],[Interview_Status]]="Rejected","Rejected",
IF(Recruitment_Updated[[#This Row],[Interview_Status]]="On Hold","In Progress",
IF(Recruitment_Updated[[#This Row],[Interview_Status]]="Shortlisted","Shortlisted",
IF(Recruitment_Updated[[#This Row],[Interview_Status]]="Offered","Final Stage",""))))</f>
        <v>Final Stage</v>
      </c>
    </row>
    <row r="11" spans="1:11" x14ac:dyDescent="0.25">
      <c r="A11" t="s">
        <v>369</v>
      </c>
      <c r="B11" t="s">
        <v>35</v>
      </c>
      <c r="C11" t="s">
        <v>32</v>
      </c>
      <c r="D11">
        <v>3.9</v>
      </c>
      <c r="E11" s="1">
        <v>45220</v>
      </c>
      <c r="F11" s="1" t="str">
        <f>TEXT(Recruitment_Updated[[#This Row],[Application_Date]],"MMM-YYYY")</f>
        <v>Oct-2023</v>
      </c>
      <c r="G11" s="1">
        <v>45232</v>
      </c>
      <c r="H11" s="1" t="str">
        <f>TEXT(Recruitment_Updated[[#This Row],[Interview_Date]],"mm-YYYY")</f>
        <v>11-2023</v>
      </c>
      <c r="I11" t="s">
        <v>362</v>
      </c>
      <c r="J11" t="s">
        <v>358</v>
      </c>
      <c r="K11" s="1" t="str">
        <f>IF(Recruitment_Updated[[#This Row],[Interview_Status]]="Rejected","Rejected",
IF(Recruitment_Updated[[#This Row],[Interview_Status]]="On Hold","In Progress",
IF(Recruitment_Updated[[#This Row],[Interview_Status]]="Shortlisted","Shortlisted",
IF(Recruitment_Updated[[#This Row],[Interview_Status]]="Offered","Final Stage",""))))</f>
        <v>Shortlisted</v>
      </c>
    </row>
    <row r="12" spans="1:11" x14ac:dyDescent="0.25">
      <c r="A12" t="s">
        <v>370</v>
      </c>
      <c r="B12" t="s">
        <v>46</v>
      </c>
      <c r="C12" t="s">
        <v>32</v>
      </c>
      <c r="D12">
        <v>5.7</v>
      </c>
      <c r="E12" s="1">
        <v>45213</v>
      </c>
      <c r="F12" s="1" t="str">
        <f>TEXT(Recruitment_Updated[[#This Row],[Application_Date]],"MMM-YYYY")</f>
        <v>Oct-2023</v>
      </c>
      <c r="G12" s="1">
        <v>45219</v>
      </c>
      <c r="H12" s="1" t="str">
        <f>TEXT(Recruitment_Updated[[#This Row],[Interview_Date]],"mm-YYYY")</f>
        <v>10-2023</v>
      </c>
      <c r="I12" t="s">
        <v>364</v>
      </c>
      <c r="J12" t="s">
        <v>371</v>
      </c>
      <c r="K12" s="1" t="str">
        <f>IF(Recruitment_Updated[[#This Row],[Interview_Status]]="Rejected","Rejected",
IF(Recruitment_Updated[[#This Row],[Interview_Status]]="On Hold","In Progress",
IF(Recruitment_Updated[[#This Row],[Interview_Status]]="Shortlisted","Shortlisted",
IF(Recruitment_Updated[[#This Row],[Interview_Status]]="Offered","Final Stage",""))))</f>
        <v>Rejected</v>
      </c>
    </row>
    <row r="13" spans="1:11" x14ac:dyDescent="0.25">
      <c r="A13" t="s">
        <v>372</v>
      </c>
      <c r="B13" t="s">
        <v>44</v>
      </c>
      <c r="C13" t="s">
        <v>22</v>
      </c>
      <c r="D13">
        <v>5</v>
      </c>
      <c r="E13" s="1">
        <v>45270</v>
      </c>
      <c r="F13" s="1" t="str">
        <f>TEXT(Recruitment_Updated[[#This Row],[Application_Date]],"MMM-YYYY")</f>
        <v>Dec-2023</v>
      </c>
      <c r="G13" s="1">
        <v>45285</v>
      </c>
      <c r="H13" s="1" t="str">
        <f>TEXT(Recruitment_Updated[[#This Row],[Interview_Date]],"mm-YYYY")</f>
        <v>12-2023</v>
      </c>
      <c r="I13" t="s">
        <v>364</v>
      </c>
      <c r="J13" t="s">
        <v>360</v>
      </c>
      <c r="K13" s="1" t="str">
        <f>IF(Recruitment_Updated[[#This Row],[Interview_Status]]="Rejected","Rejected",
IF(Recruitment_Updated[[#This Row],[Interview_Status]]="On Hold","In Progress",
IF(Recruitment_Updated[[#This Row],[Interview_Status]]="Shortlisted","Shortlisted",
IF(Recruitment_Updated[[#This Row],[Interview_Status]]="Offered","Final Stage",""))))</f>
        <v>Final Stage</v>
      </c>
    </row>
    <row r="14" spans="1:11" x14ac:dyDescent="0.25">
      <c r="A14" t="s">
        <v>373</v>
      </c>
      <c r="B14" t="s">
        <v>44</v>
      </c>
      <c r="C14" t="s">
        <v>14</v>
      </c>
      <c r="D14">
        <v>1.5</v>
      </c>
      <c r="E14" s="1">
        <v>45222</v>
      </c>
      <c r="F14" s="1" t="str">
        <f>TEXT(Recruitment_Updated[[#This Row],[Application_Date]],"MMM-YYYY")</f>
        <v>Oct-2023</v>
      </c>
      <c r="G14" s="1">
        <v>45234</v>
      </c>
      <c r="H14" s="1" t="str">
        <f>TEXT(Recruitment_Updated[[#This Row],[Interview_Date]],"mm-YYYY")</f>
        <v>11-2023</v>
      </c>
      <c r="I14" t="s">
        <v>374</v>
      </c>
      <c r="J14" t="s">
        <v>358</v>
      </c>
      <c r="K14" s="1" t="str">
        <f>IF(Recruitment_Updated[[#This Row],[Interview_Status]]="Rejected","Rejected",
IF(Recruitment_Updated[[#This Row],[Interview_Status]]="On Hold","In Progress",
IF(Recruitment_Updated[[#This Row],[Interview_Status]]="Shortlisted","Shortlisted",
IF(Recruitment_Updated[[#This Row],[Interview_Status]]="Offered","Final Stage",""))))</f>
        <v>Shortlisted</v>
      </c>
    </row>
    <row r="15" spans="1:11" x14ac:dyDescent="0.25">
      <c r="A15" t="s">
        <v>375</v>
      </c>
      <c r="B15" t="s">
        <v>26</v>
      </c>
      <c r="C15" t="s">
        <v>32</v>
      </c>
      <c r="D15">
        <v>10.1</v>
      </c>
      <c r="E15" s="1">
        <v>45044</v>
      </c>
      <c r="F15" s="1" t="str">
        <f>TEXT(Recruitment_Updated[[#This Row],[Application_Date]],"MMM-YYYY")</f>
        <v>Apr-2023</v>
      </c>
      <c r="G15" s="1">
        <v>45049</v>
      </c>
      <c r="H15" s="1" t="str">
        <f>TEXT(Recruitment_Updated[[#This Row],[Interview_Date]],"mm-YYYY")</f>
        <v>05-2023</v>
      </c>
      <c r="I15" t="s">
        <v>354</v>
      </c>
      <c r="J15" t="s">
        <v>371</v>
      </c>
      <c r="K15" s="1" t="str">
        <f>IF(Recruitment_Updated[[#This Row],[Interview_Status]]="Rejected","Rejected",
IF(Recruitment_Updated[[#This Row],[Interview_Status]]="On Hold","In Progress",
IF(Recruitment_Updated[[#This Row],[Interview_Status]]="Shortlisted","Shortlisted",
IF(Recruitment_Updated[[#This Row],[Interview_Status]]="Offered","Final Stage",""))))</f>
        <v>Rejected</v>
      </c>
    </row>
    <row r="16" spans="1:11" x14ac:dyDescent="0.25">
      <c r="A16" t="s">
        <v>376</v>
      </c>
      <c r="B16" t="s">
        <v>15</v>
      </c>
      <c r="C16" t="s">
        <v>22</v>
      </c>
      <c r="D16">
        <v>8</v>
      </c>
      <c r="E16" s="1">
        <v>45226</v>
      </c>
      <c r="F16" s="1" t="str">
        <f>TEXT(Recruitment_Updated[[#This Row],[Application_Date]],"MMM-YYYY")</f>
        <v>Oct-2023</v>
      </c>
      <c r="G16" s="1">
        <v>45238</v>
      </c>
      <c r="H16" s="1" t="str">
        <f>TEXT(Recruitment_Updated[[#This Row],[Interview_Date]],"mm-YYYY")</f>
        <v>11-2023</v>
      </c>
      <c r="I16" t="s">
        <v>354</v>
      </c>
      <c r="J16" t="s">
        <v>360</v>
      </c>
      <c r="K16" s="1" t="str">
        <f>IF(Recruitment_Updated[[#This Row],[Interview_Status]]="Rejected","Rejected",
IF(Recruitment_Updated[[#This Row],[Interview_Status]]="On Hold","In Progress",
IF(Recruitment_Updated[[#This Row],[Interview_Status]]="Shortlisted","Shortlisted",
IF(Recruitment_Updated[[#This Row],[Interview_Status]]="Offered","Final Stage",""))))</f>
        <v>Final Stage</v>
      </c>
    </row>
    <row r="17" spans="1:11" x14ac:dyDescent="0.25">
      <c r="A17" t="s">
        <v>377</v>
      </c>
      <c r="B17" t="s">
        <v>35</v>
      </c>
      <c r="C17" t="s">
        <v>25</v>
      </c>
      <c r="D17">
        <v>0.5</v>
      </c>
      <c r="E17" s="1">
        <v>44986</v>
      </c>
      <c r="F17" s="1" t="str">
        <f>TEXT(Recruitment_Updated[[#This Row],[Application_Date]],"MMM-YYYY")</f>
        <v>Mar-2023</v>
      </c>
      <c r="G17" s="1">
        <v>44990</v>
      </c>
      <c r="H17" s="1" t="str">
        <f>TEXT(Recruitment_Updated[[#This Row],[Interview_Date]],"mm-YYYY")</f>
        <v>03-2023</v>
      </c>
      <c r="I17" t="s">
        <v>357</v>
      </c>
      <c r="J17" t="s">
        <v>371</v>
      </c>
      <c r="K17" s="1" t="str">
        <f>IF(Recruitment_Updated[[#This Row],[Interview_Status]]="Rejected","Rejected",
IF(Recruitment_Updated[[#This Row],[Interview_Status]]="On Hold","In Progress",
IF(Recruitment_Updated[[#This Row],[Interview_Status]]="Shortlisted","Shortlisted",
IF(Recruitment_Updated[[#This Row],[Interview_Status]]="Offered","Final Stage",""))))</f>
        <v>Rejected</v>
      </c>
    </row>
    <row r="18" spans="1:11" x14ac:dyDescent="0.25">
      <c r="A18" t="s">
        <v>378</v>
      </c>
      <c r="B18" t="s">
        <v>23</v>
      </c>
      <c r="C18" t="s">
        <v>25</v>
      </c>
      <c r="D18">
        <v>7.5</v>
      </c>
      <c r="E18" s="1">
        <v>45176</v>
      </c>
      <c r="F18" s="1" t="str">
        <f>TEXT(Recruitment_Updated[[#This Row],[Application_Date]],"MMM-YYYY")</f>
        <v>Sep-2023</v>
      </c>
      <c r="G18" s="1">
        <v>45190</v>
      </c>
      <c r="H18" s="1" t="str">
        <f>TEXT(Recruitment_Updated[[#This Row],[Interview_Date]],"mm-YYYY")</f>
        <v>09-2023</v>
      </c>
      <c r="I18" t="s">
        <v>362</v>
      </c>
      <c r="J18" t="s">
        <v>355</v>
      </c>
      <c r="K18" s="1" t="str">
        <f>IF(Recruitment_Updated[[#This Row],[Interview_Status]]="Rejected","Rejected",
IF(Recruitment_Updated[[#This Row],[Interview_Status]]="On Hold","In Progress",
IF(Recruitment_Updated[[#This Row],[Interview_Status]]="Shortlisted","Shortlisted",
IF(Recruitment_Updated[[#This Row],[Interview_Status]]="Offered","Final Stage",""))))</f>
        <v>In Progress</v>
      </c>
    </row>
    <row r="19" spans="1:11" x14ac:dyDescent="0.25">
      <c r="A19" t="s">
        <v>379</v>
      </c>
      <c r="B19" t="s">
        <v>26</v>
      </c>
      <c r="C19" t="s">
        <v>22</v>
      </c>
      <c r="D19">
        <v>4.7</v>
      </c>
      <c r="E19" s="1">
        <v>45061</v>
      </c>
      <c r="F19" s="1" t="str">
        <f>TEXT(Recruitment_Updated[[#This Row],[Application_Date]],"MMM-YYYY")</f>
        <v>May-2023</v>
      </c>
      <c r="G19" s="1">
        <v>45074</v>
      </c>
      <c r="H19" s="1" t="str">
        <f>TEXT(Recruitment_Updated[[#This Row],[Interview_Date]],"mm-YYYY")</f>
        <v>05-2023</v>
      </c>
      <c r="I19" t="s">
        <v>374</v>
      </c>
      <c r="J19" t="s">
        <v>358</v>
      </c>
      <c r="K19" s="1" t="str">
        <f>IF(Recruitment_Updated[[#This Row],[Interview_Status]]="Rejected","Rejected",
IF(Recruitment_Updated[[#This Row],[Interview_Status]]="On Hold","In Progress",
IF(Recruitment_Updated[[#This Row],[Interview_Status]]="Shortlisted","Shortlisted",
IF(Recruitment_Updated[[#This Row],[Interview_Status]]="Offered","Final Stage",""))))</f>
        <v>Shortlisted</v>
      </c>
    </row>
    <row r="20" spans="1:11" x14ac:dyDescent="0.25">
      <c r="A20" t="s">
        <v>380</v>
      </c>
      <c r="B20" t="s">
        <v>23</v>
      </c>
      <c r="C20" t="s">
        <v>25</v>
      </c>
      <c r="D20">
        <v>1.3</v>
      </c>
      <c r="E20" s="1">
        <v>45013</v>
      </c>
      <c r="F20" s="1" t="str">
        <f>TEXT(Recruitment_Updated[[#This Row],[Application_Date]],"MMM-YYYY")</f>
        <v>Mar-2023</v>
      </c>
      <c r="G20" s="1">
        <v>45015</v>
      </c>
      <c r="H20" s="1" t="str">
        <f>TEXT(Recruitment_Updated[[#This Row],[Interview_Date]],"mm-YYYY")</f>
        <v>03-2023</v>
      </c>
      <c r="I20" t="s">
        <v>374</v>
      </c>
      <c r="J20" t="s">
        <v>371</v>
      </c>
      <c r="K20" s="1" t="str">
        <f>IF(Recruitment_Updated[[#This Row],[Interview_Status]]="Rejected","Rejected",
IF(Recruitment_Updated[[#This Row],[Interview_Status]]="On Hold","In Progress",
IF(Recruitment_Updated[[#This Row],[Interview_Status]]="Shortlisted","Shortlisted",
IF(Recruitment_Updated[[#This Row],[Interview_Status]]="Offered","Final Stage",""))))</f>
        <v>Rejected</v>
      </c>
    </row>
    <row r="21" spans="1:11" x14ac:dyDescent="0.25">
      <c r="A21" t="s">
        <v>381</v>
      </c>
      <c r="B21" t="s">
        <v>35</v>
      </c>
      <c r="C21" t="s">
        <v>22</v>
      </c>
      <c r="D21">
        <v>6.3</v>
      </c>
      <c r="E21" s="1">
        <v>45277</v>
      </c>
      <c r="F21" s="1" t="str">
        <f>TEXT(Recruitment_Updated[[#This Row],[Application_Date]],"MMM-YYYY")</f>
        <v>Dec-2023</v>
      </c>
      <c r="G21" s="1">
        <v>45280</v>
      </c>
      <c r="H21" s="1" t="str">
        <f>TEXT(Recruitment_Updated[[#This Row],[Interview_Date]],"mm-YYYY")</f>
        <v>12-2023</v>
      </c>
      <c r="I21" t="s">
        <v>364</v>
      </c>
      <c r="J21" t="s">
        <v>358</v>
      </c>
      <c r="K21" s="1" t="str">
        <f>IF(Recruitment_Updated[[#This Row],[Interview_Status]]="Rejected","Rejected",
IF(Recruitment_Updated[[#This Row],[Interview_Status]]="On Hold","In Progress",
IF(Recruitment_Updated[[#This Row],[Interview_Status]]="Shortlisted","Shortlisted",
IF(Recruitment_Updated[[#This Row],[Interview_Status]]="Offered","Final Stage",""))))</f>
        <v>Shortlisted</v>
      </c>
    </row>
    <row r="22" spans="1:11" x14ac:dyDescent="0.25">
      <c r="A22" t="s">
        <v>382</v>
      </c>
      <c r="B22" t="s">
        <v>15</v>
      </c>
      <c r="C22" t="s">
        <v>52</v>
      </c>
      <c r="D22">
        <v>7.9</v>
      </c>
      <c r="E22" s="1">
        <v>45036</v>
      </c>
      <c r="F22" s="1" t="str">
        <f>TEXT(Recruitment_Updated[[#This Row],[Application_Date]],"MMM-YYYY")</f>
        <v>Apr-2023</v>
      </c>
      <c r="G22" s="1">
        <v>45047</v>
      </c>
      <c r="H22" s="1" t="str">
        <f>TEXT(Recruitment_Updated[[#This Row],[Interview_Date]],"mm-YYYY")</f>
        <v>05-2023</v>
      </c>
      <c r="I22" t="s">
        <v>374</v>
      </c>
      <c r="J22" t="s">
        <v>360</v>
      </c>
      <c r="K22" s="1" t="str">
        <f>IF(Recruitment_Updated[[#This Row],[Interview_Status]]="Rejected","Rejected",
IF(Recruitment_Updated[[#This Row],[Interview_Status]]="On Hold","In Progress",
IF(Recruitment_Updated[[#This Row],[Interview_Status]]="Shortlisted","Shortlisted",
IF(Recruitment_Updated[[#This Row],[Interview_Status]]="Offered","Final Stage",""))))</f>
        <v>Final Stage</v>
      </c>
    </row>
    <row r="23" spans="1:11" x14ac:dyDescent="0.25">
      <c r="A23" t="s">
        <v>383</v>
      </c>
      <c r="B23" t="s">
        <v>44</v>
      </c>
      <c r="C23" t="s">
        <v>14</v>
      </c>
      <c r="D23">
        <v>2.7</v>
      </c>
      <c r="E23" s="1">
        <v>45236</v>
      </c>
      <c r="F23" s="1" t="str">
        <f>TEXT(Recruitment_Updated[[#This Row],[Application_Date]],"MMM-YYYY")</f>
        <v>Nov-2023</v>
      </c>
      <c r="G23" s="1">
        <v>45241</v>
      </c>
      <c r="H23" s="1" t="str">
        <f>TEXT(Recruitment_Updated[[#This Row],[Interview_Date]],"mm-YYYY")</f>
        <v>11-2023</v>
      </c>
      <c r="I23" t="s">
        <v>374</v>
      </c>
      <c r="J23" t="s">
        <v>355</v>
      </c>
      <c r="K23" s="1" t="str">
        <f>IF(Recruitment_Updated[[#This Row],[Interview_Status]]="Rejected","Rejected",
IF(Recruitment_Updated[[#This Row],[Interview_Status]]="On Hold","In Progress",
IF(Recruitment_Updated[[#This Row],[Interview_Status]]="Shortlisted","Shortlisted",
IF(Recruitment_Updated[[#This Row],[Interview_Status]]="Offered","Final Stage",""))))</f>
        <v>In Progress</v>
      </c>
    </row>
    <row r="24" spans="1:11" x14ac:dyDescent="0.25">
      <c r="A24" t="s">
        <v>384</v>
      </c>
      <c r="B24" t="s">
        <v>26</v>
      </c>
      <c r="C24" t="s">
        <v>25</v>
      </c>
      <c r="D24">
        <v>0.8</v>
      </c>
      <c r="E24" s="1">
        <v>45083</v>
      </c>
      <c r="F24" s="1" t="str">
        <f>TEXT(Recruitment_Updated[[#This Row],[Application_Date]],"MMM-YYYY")</f>
        <v>Jun-2023</v>
      </c>
      <c r="G24" s="1">
        <v>45093</v>
      </c>
      <c r="H24" s="1" t="str">
        <f>TEXT(Recruitment_Updated[[#This Row],[Interview_Date]],"mm-YYYY")</f>
        <v>06-2023</v>
      </c>
      <c r="I24" t="s">
        <v>354</v>
      </c>
      <c r="J24" t="s">
        <v>371</v>
      </c>
      <c r="K24" s="1" t="str">
        <f>IF(Recruitment_Updated[[#This Row],[Interview_Status]]="Rejected","Rejected",
IF(Recruitment_Updated[[#This Row],[Interview_Status]]="On Hold","In Progress",
IF(Recruitment_Updated[[#This Row],[Interview_Status]]="Shortlisted","Shortlisted",
IF(Recruitment_Updated[[#This Row],[Interview_Status]]="Offered","Final Stage",""))))</f>
        <v>Rejected</v>
      </c>
    </row>
    <row r="25" spans="1:11" x14ac:dyDescent="0.25">
      <c r="A25" t="s">
        <v>385</v>
      </c>
      <c r="B25" t="s">
        <v>26</v>
      </c>
      <c r="C25" t="s">
        <v>52</v>
      </c>
      <c r="D25">
        <v>3.2</v>
      </c>
      <c r="E25" s="1">
        <v>45032</v>
      </c>
      <c r="F25" s="1" t="str">
        <f>TEXT(Recruitment_Updated[[#This Row],[Application_Date]],"MMM-YYYY")</f>
        <v>Apr-2023</v>
      </c>
      <c r="G25" s="1">
        <v>45046</v>
      </c>
      <c r="H25" s="1" t="str">
        <f>TEXT(Recruitment_Updated[[#This Row],[Interview_Date]],"mm-YYYY")</f>
        <v>04-2023</v>
      </c>
      <c r="I25" t="s">
        <v>357</v>
      </c>
      <c r="J25" t="s">
        <v>371</v>
      </c>
      <c r="K25" s="1" t="str">
        <f>IF(Recruitment_Updated[[#This Row],[Interview_Status]]="Rejected","Rejected",
IF(Recruitment_Updated[[#This Row],[Interview_Status]]="On Hold","In Progress",
IF(Recruitment_Updated[[#This Row],[Interview_Status]]="Shortlisted","Shortlisted",
IF(Recruitment_Updated[[#This Row],[Interview_Status]]="Offered","Final Stage",""))))</f>
        <v>Rejected</v>
      </c>
    </row>
    <row r="26" spans="1:11" x14ac:dyDescent="0.25">
      <c r="A26" t="s">
        <v>386</v>
      </c>
      <c r="B26" t="s">
        <v>23</v>
      </c>
      <c r="C26" t="s">
        <v>14</v>
      </c>
      <c r="D26">
        <v>9.4</v>
      </c>
      <c r="E26" s="1">
        <v>45247</v>
      </c>
      <c r="F26" s="1" t="str">
        <f>TEXT(Recruitment_Updated[[#This Row],[Application_Date]],"MMM-YYYY")</f>
        <v>Nov-2023</v>
      </c>
      <c r="G26" s="1">
        <v>45249</v>
      </c>
      <c r="H26" s="1" t="str">
        <f>TEXT(Recruitment_Updated[[#This Row],[Interview_Date]],"mm-YYYY")</f>
        <v>11-2023</v>
      </c>
      <c r="I26" t="s">
        <v>374</v>
      </c>
      <c r="J26" t="s">
        <v>360</v>
      </c>
      <c r="K26" s="1" t="str">
        <f>IF(Recruitment_Updated[[#This Row],[Interview_Status]]="Rejected","Rejected",
IF(Recruitment_Updated[[#This Row],[Interview_Status]]="On Hold","In Progress",
IF(Recruitment_Updated[[#This Row],[Interview_Status]]="Shortlisted","Shortlisted",
IF(Recruitment_Updated[[#This Row],[Interview_Status]]="Offered","Final Stage",""))))</f>
        <v>Final Stage</v>
      </c>
    </row>
    <row r="27" spans="1:11" x14ac:dyDescent="0.25">
      <c r="A27" t="s">
        <v>387</v>
      </c>
      <c r="B27" t="s">
        <v>15</v>
      </c>
      <c r="C27" t="s">
        <v>25</v>
      </c>
      <c r="D27">
        <v>11.2</v>
      </c>
      <c r="E27" s="1">
        <v>45012</v>
      </c>
      <c r="F27" s="1" t="str">
        <f>TEXT(Recruitment_Updated[[#This Row],[Application_Date]],"MMM-YYYY")</f>
        <v>Mar-2023</v>
      </c>
      <c r="G27" s="1">
        <v>45021</v>
      </c>
      <c r="H27" s="1" t="str">
        <f>TEXT(Recruitment_Updated[[#This Row],[Interview_Date]],"mm-YYYY")</f>
        <v>04-2023</v>
      </c>
      <c r="I27" t="s">
        <v>357</v>
      </c>
      <c r="J27" t="s">
        <v>358</v>
      </c>
      <c r="K27" s="1" t="str">
        <f>IF(Recruitment_Updated[[#This Row],[Interview_Status]]="Rejected","Rejected",
IF(Recruitment_Updated[[#This Row],[Interview_Status]]="On Hold","In Progress",
IF(Recruitment_Updated[[#This Row],[Interview_Status]]="Shortlisted","Shortlisted",
IF(Recruitment_Updated[[#This Row],[Interview_Status]]="Offered","Final Stage",""))))</f>
        <v>Shortlisted</v>
      </c>
    </row>
    <row r="28" spans="1:11" x14ac:dyDescent="0.25">
      <c r="A28" t="s">
        <v>388</v>
      </c>
      <c r="B28" t="s">
        <v>26</v>
      </c>
      <c r="C28" t="s">
        <v>40</v>
      </c>
      <c r="D28">
        <v>10.5</v>
      </c>
      <c r="E28" s="1">
        <v>45106</v>
      </c>
      <c r="F28" s="1" t="str">
        <f>TEXT(Recruitment_Updated[[#This Row],[Application_Date]],"MMM-YYYY")</f>
        <v>Jun-2023</v>
      </c>
      <c r="G28" s="1">
        <v>45120</v>
      </c>
      <c r="H28" s="1" t="str">
        <f>TEXT(Recruitment_Updated[[#This Row],[Interview_Date]],"mm-YYYY")</f>
        <v>07-2023</v>
      </c>
      <c r="I28" t="s">
        <v>364</v>
      </c>
      <c r="J28" t="s">
        <v>355</v>
      </c>
      <c r="K28" s="1" t="str">
        <f>IF(Recruitment_Updated[[#This Row],[Interview_Status]]="Rejected","Rejected",
IF(Recruitment_Updated[[#This Row],[Interview_Status]]="On Hold","In Progress",
IF(Recruitment_Updated[[#This Row],[Interview_Status]]="Shortlisted","Shortlisted",
IF(Recruitment_Updated[[#This Row],[Interview_Status]]="Offered","Final Stage",""))))</f>
        <v>In Progress</v>
      </c>
    </row>
    <row r="29" spans="1:11" x14ac:dyDescent="0.25">
      <c r="A29" t="s">
        <v>389</v>
      </c>
      <c r="B29" t="s">
        <v>46</v>
      </c>
      <c r="C29" t="s">
        <v>25</v>
      </c>
      <c r="D29">
        <v>4.8</v>
      </c>
      <c r="E29" s="1">
        <v>45260</v>
      </c>
      <c r="F29" s="1" t="str">
        <f>TEXT(Recruitment_Updated[[#This Row],[Application_Date]],"MMM-YYYY")</f>
        <v>Nov-2023</v>
      </c>
      <c r="G29" s="1">
        <v>45272</v>
      </c>
      <c r="H29" s="1" t="str">
        <f>TEXT(Recruitment_Updated[[#This Row],[Interview_Date]],"mm-YYYY")</f>
        <v>12-2023</v>
      </c>
      <c r="I29" t="s">
        <v>374</v>
      </c>
      <c r="J29" t="s">
        <v>355</v>
      </c>
      <c r="K29" s="1" t="str">
        <f>IF(Recruitment_Updated[[#This Row],[Interview_Status]]="Rejected","Rejected",
IF(Recruitment_Updated[[#This Row],[Interview_Status]]="On Hold","In Progress",
IF(Recruitment_Updated[[#This Row],[Interview_Status]]="Shortlisted","Shortlisted",
IF(Recruitment_Updated[[#This Row],[Interview_Status]]="Offered","Final Stage",""))))</f>
        <v>In Progress</v>
      </c>
    </row>
    <row r="30" spans="1:11" x14ac:dyDescent="0.25">
      <c r="A30" t="s">
        <v>390</v>
      </c>
      <c r="B30" t="s">
        <v>35</v>
      </c>
      <c r="C30" t="s">
        <v>57</v>
      </c>
      <c r="D30">
        <v>1.1000000000000001</v>
      </c>
      <c r="E30" s="1">
        <v>45116</v>
      </c>
      <c r="F30" s="1" t="str">
        <f>TEXT(Recruitment_Updated[[#This Row],[Application_Date]],"MMM-YYYY")</f>
        <v>Jul-2023</v>
      </c>
      <c r="G30" s="1">
        <v>45130</v>
      </c>
      <c r="H30" s="1" t="str">
        <f>TEXT(Recruitment_Updated[[#This Row],[Interview_Date]],"mm-YYYY")</f>
        <v>07-2023</v>
      </c>
      <c r="I30" t="s">
        <v>362</v>
      </c>
      <c r="J30" t="s">
        <v>360</v>
      </c>
      <c r="K30" s="1" t="str">
        <f>IF(Recruitment_Updated[[#This Row],[Interview_Status]]="Rejected","Rejected",
IF(Recruitment_Updated[[#This Row],[Interview_Status]]="On Hold","In Progress",
IF(Recruitment_Updated[[#This Row],[Interview_Status]]="Shortlisted","Shortlisted",
IF(Recruitment_Updated[[#This Row],[Interview_Status]]="Offered","Final Stage",""))))</f>
        <v>Final Stage</v>
      </c>
    </row>
    <row r="31" spans="1:11" x14ac:dyDescent="0.25">
      <c r="A31" t="s">
        <v>391</v>
      </c>
      <c r="B31" t="s">
        <v>46</v>
      </c>
      <c r="C31" t="s">
        <v>57</v>
      </c>
      <c r="D31">
        <v>2.7</v>
      </c>
      <c r="E31" s="1">
        <v>45199</v>
      </c>
      <c r="F31" s="1" t="str">
        <f>TEXT(Recruitment_Updated[[#This Row],[Application_Date]],"MMM-YYYY")</f>
        <v>Sep-2023</v>
      </c>
      <c r="G31" s="1">
        <v>45201</v>
      </c>
      <c r="H31" s="1" t="str">
        <f>TEXT(Recruitment_Updated[[#This Row],[Interview_Date]],"mm-YYYY")</f>
        <v>10-2023</v>
      </c>
      <c r="I31" t="s">
        <v>374</v>
      </c>
      <c r="J31" t="s">
        <v>360</v>
      </c>
      <c r="K31" s="1" t="str">
        <f>IF(Recruitment_Updated[[#This Row],[Interview_Status]]="Rejected","Rejected",
IF(Recruitment_Updated[[#This Row],[Interview_Status]]="On Hold","In Progress",
IF(Recruitment_Updated[[#This Row],[Interview_Status]]="Shortlisted","Shortlisted",
IF(Recruitment_Updated[[#This Row],[Interview_Status]]="Offered","Final Stage",""))))</f>
        <v>Final Stage</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C8D49-14E5-4892-97AD-D32D66409853}">
  <dimension ref="A1:I51"/>
  <sheetViews>
    <sheetView topLeftCell="A32" zoomScale="98" zoomScaleNormal="98" workbookViewId="0">
      <selection activeCell="G2" sqref="G2:G51"/>
    </sheetView>
  </sheetViews>
  <sheetFormatPr defaultRowHeight="15" x14ac:dyDescent="0.25"/>
  <cols>
    <col min="1" max="1" width="10" style="3" bestFit="1" customWidth="1"/>
    <col min="2" max="2" width="23.42578125" style="3" bestFit="1" customWidth="1"/>
    <col min="3" max="3" width="15" style="7" bestFit="1" customWidth="1"/>
    <col min="4" max="4" width="13.42578125" style="3" bestFit="1" customWidth="1"/>
    <col min="5" max="5" width="26.42578125" style="3" bestFit="1" customWidth="1"/>
    <col min="6" max="6" width="23.85546875" style="3" bestFit="1" customWidth="1"/>
    <col min="7" max="7" width="22.7109375" style="3" bestFit="1" customWidth="1"/>
    <col min="8" max="8" width="21" style="3" bestFit="1" customWidth="1"/>
    <col min="9" max="9" width="17.28515625" style="3" bestFit="1" customWidth="1"/>
  </cols>
  <sheetData>
    <row r="1" spans="1:9" x14ac:dyDescent="0.25">
      <c r="A1" t="s">
        <v>0</v>
      </c>
      <c r="B1" s="3" t="s">
        <v>454</v>
      </c>
      <c r="C1" s="3" t="s">
        <v>392</v>
      </c>
      <c r="D1" s="3" t="s">
        <v>479</v>
      </c>
      <c r="E1" s="7" t="s">
        <v>393</v>
      </c>
      <c r="F1" s="3" t="s">
        <v>394</v>
      </c>
      <c r="G1" s="3" t="s">
        <v>395</v>
      </c>
      <c r="H1" s="3" t="s">
        <v>396</v>
      </c>
      <c r="I1" s="3" t="s">
        <v>397</v>
      </c>
    </row>
    <row r="2" spans="1:9" x14ac:dyDescent="0.25">
      <c r="A2" t="s">
        <v>11</v>
      </c>
      <c r="B2" s="3" t="s">
        <v>11</v>
      </c>
      <c r="C2" s="3" t="s">
        <v>398</v>
      </c>
      <c r="D2" s="3" t="s">
        <v>11</v>
      </c>
      <c r="E2" s="7" t="s">
        <v>475</v>
      </c>
      <c r="F2" s="3">
        <v>4.2</v>
      </c>
      <c r="G2" s="3">
        <v>4.2</v>
      </c>
      <c r="H2" s="3" t="s">
        <v>399</v>
      </c>
      <c r="I2" s="6">
        <v>45392</v>
      </c>
    </row>
    <row r="3" spans="1:9" x14ac:dyDescent="0.25">
      <c r="A3" t="s">
        <v>19</v>
      </c>
      <c r="B3" s="3" t="s">
        <v>11</v>
      </c>
      <c r="C3" s="3" t="s">
        <v>400</v>
      </c>
      <c r="D3" s="3" t="s">
        <v>19</v>
      </c>
      <c r="E3" s="7" t="s">
        <v>476</v>
      </c>
      <c r="F3" s="3">
        <v>4.9000000000000004</v>
      </c>
      <c r="G3" s="3">
        <v>4.2</v>
      </c>
      <c r="H3" s="3" t="s">
        <v>399</v>
      </c>
      <c r="I3" s="6">
        <v>45392</v>
      </c>
    </row>
    <row r="4" spans="1:9" x14ac:dyDescent="0.25">
      <c r="A4" t="s">
        <v>24</v>
      </c>
      <c r="B4" s="3" t="s">
        <v>19</v>
      </c>
      <c r="C4" s="3" t="s">
        <v>401</v>
      </c>
      <c r="D4" s="3" t="s">
        <v>24</v>
      </c>
      <c r="E4" s="7" t="s">
        <v>475</v>
      </c>
      <c r="F4" s="3">
        <v>4</v>
      </c>
      <c r="G4" s="3">
        <v>4.2</v>
      </c>
      <c r="H4" s="3" t="s">
        <v>399</v>
      </c>
      <c r="I4" s="6">
        <v>45392</v>
      </c>
    </row>
    <row r="5" spans="1:9" x14ac:dyDescent="0.25">
      <c r="A5" t="s">
        <v>28</v>
      </c>
      <c r="B5" s="3" t="s">
        <v>24</v>
      </c>
      <c r="C5" s="3" t="s">
        <v>402</v>
      </c>
      <c r="D5" s="3" t="s">
        <v>28</v>
      </c>
      <c r="E5" s="7" t="s">
        <v>477</v>
      </c>
      <c r="F5" s="3">
        <v>4</v>
      </c>
      <c r="G5" s="3">
        <v>4.2</v>
      </c>
      <c r="H5" s="3" t="s">
        <v>399</v>
      </c>
      <c r="I5" s="6">
        <v>45392</v>
      </c>
    </row>
    <row r="6" spans="1:9" x14ac:dyDescent="0.25">
      <c r="A6" t="s">
        <v>30</v>
      </c>
      <c r="B6" s="3" t="s">
        <v>30</v>
      </c>
      <c r="C6" s="3" t="s">
        <v>403</v>
      </c>
      <c r="D6" s="3" t="s">
        <v>30</v>
      </c>
      <c r="E6" s="7" t="s">
        <v>476</v>
      </c>
      <c r="F6" s="3">
        <v>4.2</v>
      </c>
      <c r="G6" s="3">
        <v>4.7</v>
      </c>
      <c r="H6" s="3" t="s">
        <v>399</v>
      </c>
      <c r="I6" s="6">
        <v>45392</v>
      </c>
    </row>
    <row r="7" spans="1:9" x14ac:dyDescent="0.25">
      <c r="A7" t="s">
        <v>33</v>
      </c>
      <c r="B7" s="3" t="s">
        <v>24</v>
      </c>
      <c r="C7" s="3" t="s">
        <v>404</v>
      </c>
      <c r="D7" s="3" t="s">
        <v>33</v>
      </c>
      <c r="E7" s="7" t="s">
        <v>476</v>
      </c>
      <c r="F7" s="3">
        <v>3.7</v>
      </c>
      <c r="G7" s="3">
        <v>4</v>
      </c>
      <c r="H7" s="3" t="s">
        <v>399</v>
      </c>
      <c r="I7" s="6">
        <v>45392</v>
      </c>
    </row>
    <row r="8" spans="1:9" x14ac:dyDescent="0.25">
      <c r="A8" t="s">
        <v>37</v>
      </c>
      <c r="B8" s="3" t="s">
        <v>11</v>
      </c>
      <c r="C8" s="3" t="s">
        <v>405</v>
      </c>
      <c r="D8" s="3" t="s">
        <v>37</v>
      </c>
      <c r="E8" s="7" t="s">
        <v>476</v>
      </c>
      <c r="F8" s="3">
        <v>3.1</v>
      </c>
      <c r="G8" s="3">
        <v>4.8</v>
      </c>
      <c r="H8" s="3" t="s">
        <v>399</v>
      </c>
      <c r="I8" s="6">
        <v>45392</v>
      </c>
    </row>
    <row r="9" spans="1:9" x14ac:dyDescent="0.25">
      <c r="A9" t="s">
        <v>39</v>
      </c>
      <c r="B9" s="3" t="s">
        <v>19</v>
      </c>
      <c r="C9" s="3" t="s">
        <v>406</v>
      </c>
      <c r="D9" s="3" t="s">
        <v>39</v>
      </c>
      <c r="E9" s="7" t="s">
        <v>407</v>
      </c>
      <c r="F9" s="3">
        <v>3</v>
      </c>
      <c r="G9" s="3">
        <v>4.0999999999999996</v>
      </c>
      <c r="H9" s="3" t="s">
        <v>399</v>
      </c>
      <c r="I9" s="6">
        <v>45392</v>
      </c>
    </row>
    <row r="10" spans="1:9" x14ac:dyDescent="0.25">
      <c r="A10" t="s">
        <v>42</v>
      </c>
      <c r="B10" s="3" t="s">
        <v>19</v>
      </c>
      <c r="C10" s="3" t="s">
        <v>408</v>
      </c>
      <c r="D10" s="3" t="s">
        <v>42</v>
      </c>
      <c r="E10" s="7" t="s">
        <v>407</v>
      </c>
      <c r="F10" s="3">
        <v>4.4000000000000004</v>
      </c>
      <c r="G10" s="3">
        <v>3.9</v>
      </c>
      <c r="H10" s="3" t="s">
        <v>399</v>
      </c>
      <c r="I10" s="6">
        <v>45392</v>
      </c>
    </row>
    <row r="11" spans="1:9" x14ac:dyDescent="0.25">
      <c r="A11" t="s">
        <v>45</v>
      </c>
      <c r="B11" s="3" t="s">
        <v>30</v>
      </c>
      <c r="C11" s="3" t="s">
        <v>409</v>
      </c>
      <c r="D11" s="3" t="s">
        <v>45</v>
      </c>
      <c r="E11" s="7" t="s">
        <v>478</v>
      </c>
      <c r="F11" s="3">
        <v>4.4000000000000004</v>
      </c>
      <c r="G11" s="3">
        <v>3.5</v>
      </c>
      <c r="H11" s="3" t="s">
        <v>399</v>
      </c>
      <c r="I11" s="6">
        <v>45392</v>
      </c>
    </row>
    <row r="12" spans="1:9" x14ac:dyDescent="0.25">
      <c r="A12" t="s">
        <v>47</v>
      </c>
      <c r="B12" s="3" t="s">
        <v>47</v>
      </c>
      <c r="C12" s="3" t="s">
        <v>410</v>
      </c>
      <c r="D12" s="3" t="s">
        <v>47</v>
      </c>
      <c r="E12" s="7" t="s">
        <v>475</v>
      </c>
      <c r="F12" s="3">
        <v>4.5</v>
      </c>
      <c r="G12" s="3">
        <v>4.7</v>
      </c>
      <c r="H12" s="3" t="s">
        <v>399</v>
      </c>
      <c r="I12" s="6">
        <v>45392</v>
      </c>
    </row>
    <row r="13" spans="1:9" x14ac:dyDescent="0.25">
      <c r="A13" t="s">
        <v>48</v>
      </c>
      <c r="B13" s="3" t="s">
        <v>11</v>
      </c>
      <c r="C13" s="3" t="s">
        <v>411</v>
      </c>
      <c r="D13" s="3" t="s">
        <v>48</v>
      </c>
      <c r="E13" s="7" t="s">
        <v>407</v>
      </c>
      <c r="F13" s="3">
        <v>3.8</v>
      </c>
      <c r="G13" s="3">
        <v>4.7</v>
      </c>
      <c r="H13" s="3" t="s">
        <v>399</v>
      </c>
      <c r="I13" s="6">
        <v>45392</v>
      </c>
    </row>
    <row r="14" spans="1:9" x14ac:dyDescent="0.25">
      <c r="A14" t="s">
        <v>50</v>
      </c>
      <c r="B14" s="3" t="s">
        <v>30</v>
      </c>
      <c r="C14" s="3" t="s">
        <v>412</v>
      </c>
      <c r="D14" s="3" t="s">
        <v>50</v>
      </c>
      <c r="E14" s="7" t="s">
        <v>407</v>
      </c>
      <c r="F14" s="3">
        <v>4</v>
      </c>
      <c r="G14" s="3">
        <v>4.4000000000000004</v>
      </c>
      <c r="H14" s="3" t="s">
        <v>399</v>
      </c>
      <c r="I14" s="6">
        <v>45392</v>
      </c>
    </row>
    <row r="15" spans="1:9" x14ac:dyDescent="0.25">
      <c r="A15" t="s">
        <v>51</v>
      </c>
      <c r="B15" s="3" t="s">
        <v>47</v>
      </c>
      <c r="C15" s="3" t="s">
        <v>413</v>
      </c>
      <c r="D15" s="3" t="s">
        <v>51</v>
      </c>
      <c r="E15" s="7" t="s">
        <v>477</v>
      </c>
      <c r="F15" s="3">
        <v>4.8</v>
      </c>
      <c r="G15" s="3">
        <v>4.7</v>
      </c>
      <c r="H15" s="3" t="s">
        <v>399</v>
      </c>
      <c r="I15" s="6">
        <v>45392</v>
      </c>
    </row>
    <row r="16" spans="1:9" x14ac:dyDescent="0.25">
      <c r="A16" t="s">
        <v>53</v>
      </c>
      <c r="B16" s="3" t="s">
        <v>11</v>
      </c>
      <c r="C16" s="3" t="s">
        <v>414</v>
      </c>
      <c r="D16" s="3" t="s">
        <v>53</v>
      </c>
      <c r="E16" s="7" t="s">
        <v>475</v>
      </c>
      <c r="F16" s="3">
        <v>3.3</v>
      </c>
      <c r="G16" s="3">
        <v>5</v>
      </c>
      <c r="H16" s="3" t="s">
        <v>399</v>
      </c>
      <c r="I16" s="6">
        <v>45392</v>
      </c>
    </row>
    <row r="17" spans="1:9" x14ac:dyDescent="0.25">
      <c r="A17" t="s">
        <v>54</v>
      </c>
      <c r="B17" s="3" t="s">
        <v>47</v>
      </c>
      <c r="C17" s="3" t="s">
        <v>415</v>
      </c>
      <c r="D17" s="3" t="s">
        <v>54</v>
      </c>
      <c r="E17" s="7" t="s">
        <v>476</v>
      </c>
      <c r="F17" s="3">
        <v>4.3</v>
      </c>
      <c r="G17" s="3">
        <v>3.6</v>
      </c>
      <c r="H17" s="3" t="s">
        <v>399</v>
      </c>
      <c r="I17" s="6">
        <v>45392</v>
      </c>
    </row>
    <row r="18" spans="1:9" x14ac:dyDescent="0.25">
      <c r="A18" t="s">
        <v>55</v>
      </c>
      <c r="B18" s="3" t="s">
        <v>47</v>
      </c>
      <c r="C18" s="3" t="s">
        <v>416</v>
      </c>
      <c r="D18" s="3" t="s">
        <v>55</v>
      </c>
      <c r="E18" s="7" t="s">
        <v>475</v>
      </c>
      <c r="F18" s="3">
        <v>3.9</v>
      </c>
      <c r="G18" s="3">
        <v>3.6</v>
      </c>
      <c r="H18" s="3" t="s">
        <v>399</v>
      </c>
      <c r="I18" s="6">
        <v>45392</v>
      </c>
    </row>
    <row r="19" spans="1:9" x14ac:dyDescent="0.25">
      <c r="A19" t="s">
        <v>58</v>
      </c>
      <c r="B19" s="3" t="s">
        <v>11</v>
      </c>
      <c r="C19" s="3" t="s">
        <v>417</v>
      </c>
      <c r="D19" s="3" t="s">
        <v>58</v>
      </c>
      <c r="E19" s="7" t="s">
        <v>475</v>
      </c>
      <c r="F19" s="3">
        <v>4.9000000000000004</v>
      </c>
      <c r="G19" s="3">
        <v>4.3</v>
      </c>
      <c r="H19" s="3" t="s">
        <v>399</v>
      </c>
      <c r="I19" s="6">
        <v>45392</v>
      </c>
    </row>
    <row r="20" spans="1:9" x14ac:dyDescent="0.25">
      <c r="A20" t="s">
        <v>59</v>
      </c>
      <c r="B20" s="3" t="s">
        <v>47</v>
      </c>
      <c r="C20" s="3" t="s">
        <v>418</v>
      </c>
      <c r="D20" s="3" t="s">
        <v>59</v>
      </c>
      <c r="E20" s="7" t="s">
        <v>476</v>
      </c>
      <c r="F20" s="3">
        <v>3</v>
      </c>
      <c r="G20" s="3">
        <v>4.3</v>
      </c>
      <c r="H20" s="3" t="s">
        <v>399</v>
      </c>
      <c r="I20" s="6">
        <v>45392</v>
      </c>
    </row>
    <row r="21" spans="1:9" x14ac:dyDescent="0.25">
      <c r="A21" t="s">
        <v>60</v>
      </c>
      <c r="B21" s="3" t="s">
        <v>11</v>
      </c>
      <c r="C21" s="3" t="s">
        <v>419</v>
      </c>
      <c r="D21" s="3" t="s">
        <v>60</v>
      </c>
      <c r="E21" s="7" t="s">
        <v>477</v>
      </c>
      <c r="F21" s="3">
        <v>4.4000000000000004</v>
      </c>
      <c r="G21" s="3">
        <v>3.6</v>
      </c>
      <c r="H21" s="3" t="s">
        <v>399</v>
      </c>
      <c r="I21" s="6">
        <v>45392</v>
      </c>
    </row>
    <row r="22" spans="1:9" x14ac:dyDescent="0.25">
      <c r="A22" t="s">
        <v>61</v>
      </c>
      <c r="B22" s="3" t="s">
        <v>47</v>
      </c>
      <c r="C22" s="3" t="s">
        <v>420</v>
      </c>
      <c r="D22" s="3" t="s">
        <v>61</v>
      </c>
      <c r="E22" s="7" t="s">
        <v>478</v>
      </c>
      <c r="F22" s="3">
        <v>3</v>
      </c>
      <c r="G22" s="3">
        <v>3.7</v>
      </c>
      <c r="H22" s="3" t="s">
        <v>399</v>
      </c>
      <c r="I22" s="6">
        <v>45392</v>
      </c>
    </row>
    <row r="23" spans="1:9" x14ac:dyDescent="0.25">
      <c r="A23" t="s">
        <v>62</v>
      </c>
      <c r="B23" s="3" t="s">
        <v>11</v>
      </c>
      <c r="C23" s="3" t="s">
        <v>421</v>
      </c>
      <c r="D23" s="3" t="s">
        <v>62</v>
      </c>
      <c r="E23" s="7" t="s">
        <v>477</v>
      </c>
      <c r="F23" s="3">
        <v>4</v>
      </c>
      <c r="G23" s="3">
        <v>4.9000000000000004</v>
      </c>
      <c r="H23" s="3" t="s">
        <v>399</v>
      </c>
      <c r="I23" s="6">
        <v>45392</v>
      </c>
    </row>
    <row r="24" spans="1:9" x14ac:dyDescent="0.25">
      <c r="A24" t="s">
        <v>63</v>
      </c>
      <c r="B24" s="3" t="s">
        <v>47</v>
      </c>
      <c r="C24" s="3" t="s">
        <v>422</v>
      </c>
      <c r="D24" s="3" t="s">
        <v>63</v>
      </c>
      <c r="E24" s="7" t="s">
        <v>476</v>
      </c>
      <c r="F24" s="3">
        <v>4.3</v>
      </c>
      <c r="G24" s="3">
        <v>3.6</v>
      </c>
      <c r="H24" s="3" t="s">
        <v>399</v>
      </c>
      <c r="I24" s="6">
        <v>45392</v>
      </c>
    </row>
    <row r="25" spans="1:9" x14ac:dyDescent="0.25">
      <c r="A25" t="s">
        <v>64</v>
      </c>
      <c r="B25" s="3" t="s">
        <v>11</v>
      </c>
      <c r="C25" s="3" t="s">
        <v>423</v>
      </c>
      <c r="D25" s="3" t="s">
        <v>64</v>
      </c>
      <c r="E25" s="7" t="s">
        <v>475</v>
      </c>
      <c r="F25" s="3">
        <v>3.8</v>
      </c>
      <c r="G25" s="3">
        <v>4.4000000000000004</v>
      </c>
      <c r="H25" s="3" t="s">
        <v>399</v>
      </c>
      <c r="I25" s="6">
        <v>45392</v>
      </c>
    </row>
    <row r="26" spans="1:9" x14ac:dyDescent="0.25">
      <c r="A26" t="s">
        <v>65</v>
      </c>
      <c r="B26" s="3" t="s">
        <v>30</v>
      </c>
      <c r="C26" s="3" t="s">
        <v>424</v>
      </c>
      <c r="D26" s="3" t="s">
        <v>65</v>
      </c>
      <c r="E26" s="7" t="s">
        <v>478</v>
      </c>
      <c r="F26" s="3">
        <v>3.7</v>
      </c>
      <c r="G26" s="3">
        <v>4.5999999999999996</v>
      </c>
      <c r="H26" s="3" t="s">
        <v>399</v>
      </c>
      <c r="I26" s="6">
        <v>45392</v>
      </c>
    </row>
    <row r="27" spans="1:9" x14ac:dyDescent="0.25">
      <c r="A27" t="s">
        <v>66</v>
      </c>
      <c r="B27" s="3" t="s">
        <v>30</v>
      </c>
      <c r="C27" s="3" t="s">
        <v>425</v>
      </c>
      <c r="D27" s="3" t="s">
        <v>66</v>
      </c>
      <c r="E27" s="7" t="s">
        <v>476</v>
      </c>
      <c r="F27" s="3">
        <v>3.7</v>
      </c>
      <c r="G27" s="3">
        <v>5</v>
      </c>
      <c r="H27" s="3" t="s">
        <v>399</v>
      </c>
      <c r="I27" s="6">
        <v>45392</v>
      </c>
    </row>
    <row r="28" spans="1:9" x14ac:dyDescent="0.25">
      <c r="A28" t="s">
        <v>67</v>
      </c>
      <c r="B28" s="3" t="s">
        <v>19</v>
      </c>
      <c r="C28" s="3" t="s">
        <v>426</v>
      </c>
      <c r="D28" s="3" t="s">
        <v>67</v>
      </c>
      <c r="E28" s="7" t="s">
        <v>407</v>
      </c>
      <c r="F28" s="3">
        <v>4.5</v>
      </c>
      <c r="G28" s="3">
        <v>4.9000000000000004</v>
      </c>
      <c r="H28" s="3" t="s">
        <v>399</v>
      </c>
      <c r="I28" s="6">
        <v>45392</v>
      </c>
    </row>
    <row r="29" spans="1:9" x14ac:dyDescent="0.25">
      <c r="A29" t="s">
        <v>68</v>
      </c>
      <c r="B29" s="3" t="s">
        <v>24</v>
      </c>
      <c r="C29" s="3" t="s">
        <v>427</v>
      </c>
      <c r="D29" s="3" t="s">
        <v>68</v>
      </c>
      <c r="E29" s="7" t="s">
        <v>477</v>
      </c>
      <c r="F29" s="3">
        <v>3.5</v>
      </c>
      <c r="G29" s="3">
        <v>3.5</v>
      </c>
      <c r="H29" s="3" t="s">
        <v>399</v>
      </c>
      <c r="I29" s="6">
        <v>45392</v>
      </c>
    </row>
    <row r="30" spans="1:9" x14ac:dyDescent="0.25">
      <c r="A30" t="s">
        <v>69</v>
      </c>
      <c r="B30" s="3" t="s">
        <v>11</v>
      </c>
      <c r="C30" s="3" t="s">
        <v>428</v>
      </c>
      <c r="D30" s="3" t="s">
        <v>69</v>
      </c>
      <c r="E30" s="7" t="s">
        <v>407</v>
      </c>
      <c r="F30" s="3">
        <v>4.3</v>
      </c>
      <c r="G30" s="3">
        <v>4.3</v>
      </c>
      <c r="H30" s="3" t="s">
        <v>399</v>
      </c>
      <c r="I30" s="6">
        <v>45392</v>
      </c>
    </row>
    <row r="31" spans="1:9" x14ac:dyDescent="0.25">
      <c r="A31" t="s">
        <v>70</v>
      </c>
      <c r="B31" s="3" t="s">
        <v>30</v>
      </c>
      <c r="C31" s="3" t="s">
        <v>429</v>
      </c>
      <c r="D31" s="3" t="s">
        <v>70</v>
      </c>
      <c r="E31" s="7" t="s">
        <v>407</v>
      </c>
      <c r="F31" s="3">
        <v>4.2</v>
      </c>
      <c r="G31" s="3">
        <v>3.8</v>
      </c>
      <c r="H31" s="3" t="s">
        <v>399</v>
      </c>
      <c r="I31" s="6">
        <v>45392</v>
      </c>
    </row>
    <row r="32" spans="1:9" x14ac:dyDescent="0.25">
      <c r="A32" t="s">
        <v>71</v>
      </c>
      <c r="B32" s="3" t="s">
        <v>19</v>
      </c>
      <c r="C32" s="3" t="s">
        <v>430</v>
      </c>
      <c r="D32" s="3" t="s">
        <v>71</v>
      </c>
      <c r="E32" s="7" t="s">
        <v>476</v>
      </c>
      <c r="F32" s="3">
        <v>4.5</v>
      </c>
      <c r="G32" s="3">
        <v>4.5999999999999996</v>
      </c>
      <c r="H32" s="3" t="s">
        <v>399</v>
      </c>
      <c r="I32" s="6">
        <v>45392</v>
      </c>
    </row>
    <row r="33" spans="1:9" x14ac:dyDescent="0.25">
      <c r="A33" t="s">
        <v>72</v>
      </c>
      <c r="B33" s="3" t="s">
        <v>11</v>
      </c>
      <c r="C33" s="3" t="s">
        <v>431</v>
      </c>
      <c r="D33" s="3" t="s">
        <v>72</v>
      </c>
      <c r="E33" s="7" t="s">
        <v>476</v>
      </c>
      <c r="F33" s="3">
        <v>4.7</v>
      </c>
      <c r="G33" s="3">
        <v>4.3</v>
      </c>
      <c r="H33" s="3" t="s">
        <v>399</v>
      </c>
      <c r="I33" s="6">
        <v>45392</v>
      </c>
    </row>
    <row r="34" spans="1:9" x14ac:dyDescent="0.25">
      <c r="A34" t="s">
        <v>73</v>
      </c>
      <c r="B34" s="3" t="s">
        <v>24</v>
      </c>
      <c r="C34" s="3" t="s">
        <v>432</v>
      </c>
      <c r="D34" s="3" t="s">
        <v>73</v>
      </c>
      <c r="E34" s="7" t="s">
        <v>475</v>
      </c>
      <c r="F34" s="3">
        <v>3.7</v>
      </c>
      <c r="G34" s="3">
        <v>4.9000000000000004</v>
      </c>
      <c r="H34" s="3" t="s">
        <v>399</v>
      </c>
      <c r="I34" s="6">
        <v>45392</v>
      </c>
    </row>
    <row r="35" spans="1:9" x14ac:dyDescent="0.25">
      <c r="A35" t="s">
        <v>75</v>
      </c>
      <c r="B35" s="3" t="s">
        <v>30</v>
      </c>
      <c r="C35" s="3" t="s">
        <v>433</v>
      </c>
      <c r="D35" s="3" t="s">
        <v>75</v>
      </c>
      <c r="E35" s="7" t="s">
        <v>407</v>
      </c>
      <c r="F35" s="3">
        <v>4.5</v>
      </c>
      <c r="G35" s="3">
        <v>4.7</v>
      </c>
      <c r="H35" s="3" t="s">
        <v>399</v>
      </c>
      <c r="I35" s="6">
        <v>45392</v>
      </c>
    </row>
    <row r="36" spans="1:9" x14ac:dyDescent="0.25">
      <c r="A36" t="s">
        <v>76</v>
      </c>
      <c r="B36" s="3" t="s">
        <v>19</v>
      </c>
      <c r="C36" s="3" t="s">
        <v>434</v>
      </c>
      <c r="D36" s="3" t="s">
        <v>76</v>
      </c>
      <c r="E36" s="7" t="s">
        <v>475</v>
      </c>
      <c r="F36" s="3">
        <v>4</v>
      </c>
      <c r="G36" s="3">
        <v>3.7</v>
      </c>
      <c r="H36" s="3" t="s">
        <v>399</v>
      </c>
      <c r="I36" s="6">
        <v>45392</v>
      </c>
    </row>
    <row r="37" spans="1:9" x14ac:dyDescent="0.25">
      <c r="A37" t="s">
        <v>77</v>
      </c>
      <c r="B37" s="3" t="s">
        <v>11</v>
      </c>
      <c r="C37" s="3" t="s">
        <v>435</v>
      </c>
      <c r="D37" s="3" t="s">
        <v>77</v>
      </c>
      <c r="E37" s="7" t="s">
        <v>478</v>
      </c>
      <c r="F37" s="3">
        <v>4.5999999999999996</v>
      </c>
      <c r="G37" s="3">
        <v>4.5</v>
      </c>
      <c r="H37" s="3" t="s">
        <v>399</v>
      </c>
      <c r="I37" s="6">
        <v>45392</v>
      </c>
    </row>
    <row r="38" spans="1:9" x14ac:dyDescent="0.25">
      <c r="A38" t="s">
        <v>78</v>
      </c>
      <c r="B38" s="3" t="s">
        <v>24</v>
      </c>
      <c r="C38" s="3" t="s">
        <v>436</v>
      </c>
      <c r="D38" s="3" t="s">
        <v>78</v>
      </c>
      <c r="E38" s="7" t="s">
        <v>476</v>
      </c>
      <c r="F38" s="3">
        <v>3.7</v>
      </c>
      <c r="G38" s="3">
        <v>4.3</v>
      </c>
      <c r="H38" s="3" t="s">
        <v>399</v>
      </c>
      <c r="I38" s="6">
        <v>45392</v>
      </c>
    </row>
    <row r="39" spans="1:9" x14ac:dyDescent="0.25">
      <c r="A39" t="s">
        <v>79</v>
      </c>
      <c r="B39" s="3" t="s">
        <v>19</v>
      </c>
      <c r="C39" s="3" t="s">
        <v>437</v>
      </c>
      <c r="D39" s="3" t="s">
        <v>79</v>
      </c>
      <c r="E39" s="7" t="s">
        <v>476</v>
      </c>
      <c r="F39" s="3">
        <v>4</v>
      </c>
      <c r="G39" s="3">
        <v>4.8</v>
      </c>
      <c r="H39" s="3" t="s">
        <v>399</v>
      </c>
      <c r="I39" s="6">
        <v>45392</v>
      </c>
    </row>
    <row r="40" spans="1:9" x14ac:dyDescent="0.25">
      <c r="A40" t="s">
        <v>80</v>
      </c>
      <c r="B40" s="3" t="s">
        <v>11</v>
      </c>
      <c r="C40" s="3" t="s">
        <v>438</v>
      </c>
      <c r="D40" s="3" t="s">
        <v>80</v>
      </c>
      <c r="E40" s="7" t="s">
        <v>475</v>
      </c>
      <c r="F40" s="3">
        <v>3.9</v>
      </c>
      <c r="G40" s="3">
        <v>4.3</v>
      </c>
      <c r="H40" s="3" t="s">
        <v>399</v>
      </c>
      <c r="I40" s="6">
        <v>45392</v>
      </c>
    </row>
    <row r="41" spans="1:9" x14ac:dyDescent="0.25">
      <c r="A41" t="s">
        <v>81</v>
      </c>
      <c r="B41" s="3" t="s">
        <v>30</v>
      </c>
      <c r="C41" s="3" t="s">
        <v>439</v>
      </c>
      <c r="D41" s="3" t="s">
        <v>81</v>
      </c>
      <c r="E41" s="7" t="s">
        <v>476</v>
      </c>
      <c r="F41" s="3">
        <v>3.4</v>
      </c>
      <c r="G41" s="3">
        <v>4</v>
      </c>
      <c r="H41" s="3" t="s">
        <v>399</v>
      </c>
      <c r="I41" s="6">
        <v>45392</v>
      </c>
    </row>
    <row r="42" spans="1:9" x14ac:dyDescent="0.25">
      <c r="A42" t="s">
        <v>82</v>
      </c>
      <c r="B42" s="3" t="s">
        <v>19</v>
      </c>
      <c r="C42" s="3" t="s">
        <v>440</v>
      </c>
      <c r="D42" s="3" t="s">
        <v>82</v>
      </c>
      <c r="E42" s="7" t="s">
        <v>407</v>
      </c>
      <c r="F42" s="3">
        <v>4.0999999999999996</v>
      </c>
      <c r="G42" s="3">
        <v>4.7</v>
      </c>
      <c r="H42" s="3" t="s">
        <v>399</v>
      </c>
      <c r="I42" s="6">
        <v>45392</v>
      </c>
    </row>
    <row r="43" spans="1:9" x14ac:dyDescent="0.25">
      <c r="A43" t="s">
        <v>84</v>
      </c>
      <c r="B43" s="3" t="s">
        <v>30</v>
      </c>
      <c r="C43" s="3" t="s">
        <v>441</v>
      </c>
      <c r="D43" s="3" t="s">
        <v>84</v>
      </c>
      <c r="E43" s="7" t="s">
        <v>477</v>
      </c>
      <c r="F43" s="3">
        <v>4.0999999999999996</v>
      </c>
      <c r="G43" s="3">
        <v>4</v>
      </c>
      <c r="H43" s="3" t="s">
        <v>399</v>
      </c>
      <c r="I43" s="6">
        <v>45392</v>
      </c>
    </row>
    <row r="44" spans="1:9" x14ac:dyDescent="0.25">
      <c r="A44" t="s">
        <v>85</v>
      </c>
      <c r="B44" s="3" t="s">
        <v>19</v>
      </c>
      <c r="C44" s="3" t="s">
        <v>442</v>
      </c>
      <c r="D44" s="3" t="s">
        <v>85</v>
      </c>
      <c r="E44" s="7" t="s">
        <v>477</v>
      </c>
      <c r="F44" s="3">
        <v>3.3</v>
      </c>
      <c r="G44" s="3">
        <v>4</v>
      </c>
      <c r="H44" s="3" t="s">
        <v>399</v>
      </c>
      <c r="I44" s="6">
        <v>45392</v>
      </c>
    </row>
    <row r="45" spans="1:9" x14ac:dyDescent="0.25">
      <c r="A45" t="s">
        <v>86</v>
      </c>
      <c r="B45" s="3" t="s">
        <v>11</v>
      </c>
      <c r="C45" s="3" t="s">
        <v>443</v>
      </c>
      <c r="D45" s="3" t="s">
        <v>86</v>
      </c>
      <c r="E45" s="7" t="s">
        <v>475</v>
      </c>
      <c r="F45" s="3">
        <v>3</v>
      </c>
      <c r="G45" s="3">
        <v>4.4000000000000004</v>
      </c>
      <c r="H45" s="3" t="s">
        <v>399</v>
      </c>
      <c r="I45" s="6">
        <v>45392</v>
      </c>
    </row>
    <row r="46" spans="1:9" x14ac:dyDescent="0.25">
      <c r="A46" t="s">
        <v>87</v>
      </c>
      <c r="B46" s="3" t="s">
        <v>30</v>
      </c>
      <c r="C46" s="3" t="s">
        <v>444</v>
      </c>
      <c r="D46" s="3" t="s">
        <v>87</v>
      </c>
      <c r="E46" s="7" t="s">
        <v>407</v>
      </c>
      <c r="F46" s="3">
        <v>3.7</v>
      </c>
      <c r="G46" s="3">
        <v>4.5</v>
      </c>
      <c r="H46" s="3" t="s">
        <v>399</v>
      </c>
      <c r="I46" s="6">
        <v>45392</v>
      </c>
    </row>
    <row r="47" spans="1:9" x14ac:dyDescent="0.25">
      <c r="A47" t="s">
        <v>88</v>
      </c>
      <c r="B47" s="3" t="s">
        <v>30</v>
      </c>
      <c r="C47" s="3" t="s">
        <v>445</v>
      </c>
      <c r="D47" s="3" t="s">
        <v>88</v>
      </c>
      <c r="E47" s="7" t="s">
        <v>475</v>
      </c>
      <c r="F47" s="3">
        <v>4.5999999999999996</v>
      </c>
      <c r="G47" s="3">
        <v>4</v>
      </c>
      <c r="H47" s="3" t="s">
        <v>399</v>
      </c>
      <c r="I47" s="6">
        <v>45392</v>
      </c>
    </row>
    <row r="48" spans="1:9" x14ac:dyDescent="0.25">
      <c r="A48" t="s">
        <v>89</v>
      </c>
      <c r="B48" s="3" t="s">
        <v>19</v>
      </c>
      <c r="C48" s="3" t="s">
        <v>446</v>
      </c>
      <c r="D48" s="3" t="s">
        <v>89</v>
      </c>
      <c r="E48" s="7" t="s">
        <v>476</v>
      </c>
      <c r="F48" s="3">
        <v>3.9</v>
      </c>
      <c r="G48" s="3">
        <v>4</v>
      </c>
      <c r="H48" s="3" t="s">
        <v>399</v>
      </c>
      <c r="I48" s="6">
        <v>45392</v>
      </c>
    </row>
    <row r="49" spans="1:9" x14ac:dyDescent="0.25">
      <c r="A49" t="s">
        <v>90</v>
      </c>
      <c r="B49" s="3" t="s">
        <v>11</v>
      </c>
      <c r="C49" s="3" t="s">
        <v>447</v>
      </c>
      <c r="D49" s="3" t="s">
        <v>90</v>
      </c>
      <c r="E49" s="7" t="s">
        <v>475</v>
      </c>
      <c r="F49" s="3">
        <v>4.7</v>
      </c>
      <c r="G49" s="3">
        <v>4.4000000000000004</v>
      </c>
      <c r="H49" s="3" t="s">
        <v>399</v>
      </c>
      <c r="I49" s="6">
        <v>45392</v>
      </c>
    </row>
    <row r="50" spans="1:9" x14ac:dyDescent="0.25">
      <c r="A50" t="s">
        <v>91</v>
      </c>
      <c r="B50" s="3" t="s">
        <v>24</v>
      </c>
      <c r="C50" s="3" t="s">
        <v>448</v>
      </c>
      <c r="D50" s="3" t="s">
        <v>91</v>
      </c>
      <c r="E50" s="7" t="s">
        <v>478</v>
      </c>
      <c r="F50" s="3">
        <v>4.7</v>
      </c>
      <c r="G50" s="3">
        <v>4.3</v>
      </c>
      <c r="H50" s="3" t="s">
        <v>399</v>
      </c>
      <c r="I50" s="6">
        <v>45392</v>
      </c>
    </row>
    <row r="51" spans="1:9" x14ac:dyDescent="0.25">
      <c r="A51" t="s">
        <v>92</v>
      </c>
      <c r="B51" s="3" t="s">
        <v>19</v>
      </c>
      <c r="C51" s="3" t="s">
        <v>449</v>
      </c>
      <c r="D51" s="3" t="s">
        <v>92</v>
      </c>
      <c r="E51" s="7" t="s">
        <v>476</v>
      </c>
      <c r="F51" s="3">
        <v>3.3</v>
      </c>
      <c r="G51" s="3">
        <v>4.4000000000000004</v>
      </c>
      <c r="H51" s="3" t="s">
        <v>399</v>
      </c>
      <c r="I51" s="6">
        <v>45392</v>
      </c>
    </row>
  </sheetData>
  <phoneticPr fontId="2"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77DA0-4E78-4E6F-BA7C-356CADF37A25}">
  <dimension ref="A1:F185"/>
  <sheetViews>
    <sheetView workbookViewId="0">
      <selection activeCell="L9" sqref="L9"/>
    </sheetView>
  </sheetViews>
  <sheetFormatPr defaultRowHeight="15" x14ac:dyDescent="0.25"/>
  <cols>
    <col min="1" max="1" width="16.42578125" bestFit="1" customWidth="1"/>
    <col min="2" max="2" width="10" bestFit="1" customWidth="1"/>
    <col min="3" max="3" width="21.140625" style="3" bestFit="1" customWidth="1"/>
    <col min="4" max="4" width="10.7109375" bestFit="1" customWidth="1"/>
    <col min="5" max="5" width="12.5703125" bestFit="1" customWidth="1"/>
    <col min="6" max="6" width="13.85546875" bestFit="1" customWidth="1"/>
  </cols>
  <sheetData>
    <row r="1" spans="1:6" x14ac:dyDescent="0.25">
      <c r="A1" t="s">
        <v>450</v>
      </c>
      <c r="B1" t="s">
        <v>0</v>
      </c>
      <c r="C1" s="3" t="s">
        <v>97</v>
      </c>
      <c r="D1" t="s">
        <v>451</v>
      </c>
      <c r="E1" t="s">
        <v>452</v>
      </c>
      <c r="F1" t="s">
        <v>453</v>
      </c>
    </row>
    <row r="2" spans="1:6" x14ac:dyDescent="0.25">
      <c r="A2" t="s">
        <v>99</v>
      </c>
      <c r="B2" t="s">
        <v>11</v>
      </c>
      <c r="C2" s="6">
        <v>45292</v>
      </c>
      <c r="D2" s="2">
        <v>0.39583333333333331</v>
      </c>
      <c r="E2" s="2">
        <v>0.79166666666666663</v>
      </c>
      <c r="F2" s="2">
        <v>0.39583333333333331</v>
      </c>
    </row>
    <row r="3" spans="1:6" x14ac:dyDescent="0.25">
      <c r="A3" t="s">
        <v>101</v>
      </c>
      <c r="B3" t="s">
        <v>19</v>
      </c>
      <c r="C3" s="6">
        <v>45292</v>
      </c>
      <c r="D3" s="2">
        <v>0.37569444444444444</v>
      </c>
      <c r="E3" s="2">
        <v>0.73888888888888893</v>
      </c>
      <c r="F3" s="2">
        <v>0.36319444444444443</v>
      </c>
    </row>
    <row r="4" spans="1:6" x14ac:dyDescent="0.25">
      <c r="A4" t="s">
        <v>102</v>
      </c>
      <c r="B4" t="s">
        <v>24</v>
      </c>
      <c r="C4" s="6">
        <v>45292</v>
      </c>
      <c r="D4" s="2">
        <v>0.39097222222222222</v>
      </c>
      <c r="E4" s="2">
        <v>0.74722222222222223</v>
      </c>
      <c r="F4" s="2">
        <v>0.35625000000000001</v>
      </c>
    </row>
    <row r="5" spans="1:6" x14ac:dyDescent="0.25">
      <c r="A5" t="s">
        <v>103</v>
      </c>
      <c r="B5" t="s">
        <v>28</v>
      </c>
      <c r="C5" s="6">
        <v>45292</v>
      </c>
      <c r="D5" s="2">
        <v>0.3888888888888889</v>
      </c>
      <c r="E5" s="2">
        <v>0.72430555555555554</v>
      </c>
      <c r="F5" s="2">
        <v>0.33541666666666664</v>
      </c>
    </row>
    <row r="6" spans="1:6" x14ac:dyDescent="0.25">
      <c r="A6" t="s">
        <v>104</v>
      </c>
      <c r="B6" t="s">
        <v>30</v>
      </c>
      <c r="C6" s="6">
        <v>45292</v>
      </c>
      <c r="D6" s="2">
        <v>0.39583333333333331</v>
      </c>
      <c r="E6" s="2">
        <v>0.73402777777777772</v>
      </c>
      <c r="F6" s="2">
        <v>0.33819444444444446</v>
      </c>
    </row>
    <row r="7" spans="1:6" x14ac:dyDescent="0.25">
      <c r="A7" t="s">
        <v>105</v>
      </c>
      <c r="B7" t="s">
        <v>33</v>
      </c>
      <c r="C7" s="6">
        <v>45292</v>
      </c>
      <c r="D7" s="2">
        <v>0.3888888888888889</v>
      </c>
      <c r="E7" s="2">
        <v>0.80069444444444449</v>
      </c>
      <c r="F7" s="2">
        <v>0.41180555555555554</v>
      </c>
    </row>
    <row r="8" spans="1:6" x14ac:dyDescent="0.25">
      <c r="A8" t="s">
        <v>106</v>
      </c>
      <c r="B8" t="s">
        <v>37</v>
      </c>
      <c r="C8" s="6">
        <v>45292</v>
      </c>
      <c r="D8" s="2">
        <v>0.38472222222222224</v>
      </c>
      <c r="E8" s="2">
        <v>0.83263888888888893</v>
      </c>
      <c r="F8" s="2">
        <v>0.44791666666666669</v>
      </c>
    </row>
    <row r="9" spans="1:6" x14ac:dyDescent="0.25">
      <c r="A9" t="s">
        <v>107</v>
      </c>
      <c r="B9" t="s">
        <v>39</v>
      </c>
      <c r="C9" s="6">
        <v>45292</v>
      </c>
      <c r="D9" s="2">
        <v>0.38541666666666669</v>
      </c>
      <c r="E9" s="2">
        <v>0.75347222222222221</v>
      </c>
      <c r="F9" s="2">
        <v>0.36805555555555558</v>
      </c>
    </row>
    <row r="10" spans="1:6" x14ac:dyDescent="0.25">
      <c r="A10" t="s">
        <v>108</v>
      </c>
      <c r="B10" t="s">
        <v>42</v>
      </c>
      <c r="C10" s="6">
        <v>45292</v>
      </c>
      <c r="D10" s="2">
        <v>0.38611111111111113</v>
      </c>
      <c r="E10" s="2">
        <v>0.79861111111111116</v>
      </c>
      <c r="F10" s="2">
        <v>0.41249999999999998</v>
      </c>
    </row>
    <row r="11" spans="1:6" x14ac:dyDescent="0.25">
      <c r="A11" t="s">
        <v>109</v>
      </c>
      <c r="B11" t="s">
        <v>45</v>
      </c>
      <c r="C11" s="6">
        <v>45292</v>
      </c>
      <c r="D11" s="2">
        <v>0.37777777777777777</v>
      </c>
      <c r="E11" s="2">
        <v>0.8305555555555556</v>
      </c>
      <c r="F11" s="2">
        <v>0.45277777777777778</v>
      </c>
    </row>
    <row r="12" spans="1:6" x14ac:dyDescent="0.25">
      <c r="A12" t="s">
        <v>110</v>
      </c>
      <c r="B12" t="s">
        <v>47</v>
      </c>
      <c r="C12" s="6">
        <v>45292</v>
      </c>
      <c r="D12" s="2">
        <v>0.38333333333333336</v>
      </c>
      <c r="E12" s="2">
        <v>0.72916666666666663</v>
      </c>
      <c r="F12" s="2">
        <v>0.34583333333333333</v>
      </c>
    </row>
    <row r="13" spans="1:6" x14ac:dyDescent="0.25">
      <c r="A13" t="s">
        <v>111</v>
      </c>
      <c r="B13" t="s">
        <v>48</v>
      </c>
      <c r="C13" s="6">
        <v>45292</v>
      </c>
      <c r="D13" s="2">
        <v>0.41597222222222224</v>
      </c>
      <c r="E13" s="2">
        <v>0.80138888888888893</v>
      </c>
      <c r="F13" s="2">
        <v>0.38541666666666669</v>
      </c>
    </row>
    <row r="14" spans="1:6" x14ac:dyDescent="0.25">
      <c r="A14" t="s">
        <v>112</v>
      </c>
      <c r="B14" t="s">
        <v>50</v>
      </c>
      <c r="C14" s="6">
        <v>45292</v>
      </c>
      <c r="D14" s="2">
        <v>0.39027777777777778</v>
      </c>
      <c r="E14" s="2">
        <v>0.79374999999999996</v>
      </c>
      <c r="F14" s="2">
        <v>0.40347222222222223</v>
      </c>
    </row>
    <row r="15" spans="1:6" x14ac:dyDescent="0.25">
      <c r="A15" t="s">
        <v>113</v>
      </c>
      <c r="B15" t="s">
        <v>51</v>
      </c>
      <c r="C15" s="6">
        <v>45292</v>
      </c>
      <c r="D15" s="2">
        <v>0.39305555555555555</v>
      </c>
      <c r="E15" s="2">
        <v>0.77777777777777779</v>
      </c>
      <c r="F15" s="2">
        <v>0.38472222222222224</v>
      </c>
    </row>
    <row r="16" spans="1:6" x14ac:dyDescent="0.25">
      <c r="A16" t="s">
        <v>114</v>
      </c>
      <c r="B16" t="s">
        <v>53</v>
      </c>
      <c r="C16" s="6">
        <v>45292</v>
      </c>
      <c r="D16" s="2">
        <v>0.39861111111111114</v>
      </c>
      <c r="E16" s="2">
        <v>0.80208333333333337</v>
      </c>
      <c r="F16" s="2">
        <v>0.40347222222222223</v>
      </c>
    </row>
    <row r="17" spans="1:6" x14ac:dyDescent="0.25">
      <c r="A17" t="s">
        <v>115</v>
      </c>
      <c r="B17" t="s">
        <v>54</v>
      </c>
      <c r="C17" s="6">
        <v>45292</v>
      </c>
      <c r="D17" s="2">
        <v>0.3840277777777778</v>
      </c>
      <c r="E17" s="2">
        <v>0.79791666666666672</v>
      </c>
      <c r="F17" s="2">
        <v>0.41388888888888886</v>
      </c>
    </row>
    <row r="18" spans="1:6" x14ac:dyDescent="0.25">
      <c r="A18" t="s">
        <v>116</v>
      </c>
      <c r="B18" t="s">
        <v>55</v>
      </c>
      <c r="C18" s="6">
        <v>45292</v>
      </c>
      <c r="D18" s="2">
        <v>0.38958333333333334</v>
      </c>
      <c r="E18" s="2">
        <v>0.84166666666666667</v>
      </c>
      <c r="F18" s="2">
        <v>0.45208333333333334</v>
      </c>
    </row>
    <row r="19" spans="1:6" x14ac:dyDescent="0.25">
      <c r="A19" t="s">
        <v>117</v>
      </c>
      <c r="B19" t="s">
        <v>58</v>
      </c>
      <c r="C19" s="6">
        <v>45292</v>
      </c>
      <c r="D19" s="2">
        <v>0.38472222222222224</v>
      </c>
      <c r="E19" s="2">
        <v>0.77777777777777779</v>
      </c>
      <c r="F19" s="2">
        <v>0.39305555555555555</v>
      </c>
    </row>
    <row r="20" spans="1:6" x14ac:dyDescent="0.25">
      <c r="A20" t="s">
        <v>118</v>
      </c>
      <c r="B20" t="s">
        <v>59</v>
      </c>
      <c r="C20" s="6">
        <v>45292</v>
      </c>
      <c r="D20" s="2">
        <v>0.41180555555555554</v>
      </c>
      <c r="E20" s="2">
        <v>0.79722222222222228</v>
      </c>
      <c r="F20" s="2">
        <v>0.38541666666666669</v>
      </c>
    </row>
    <row r="21" spans="1:6" x14ac:dyDescent="0.25">
      <c r="A21" t="s">
        <v>119</v>
      </c>
      <c r="B21" t="s">
        <v>60</v>
      </c>
      <c r="C21" s="6">
        <v>45292</v>
      </c>
      <c r="D21" s="2">
        <v>0.41249999999999998</v>
      </c>
      <c r="E21" s="2">
        <v>0.80486111111111114</v>
      </c>
      <c r="F21" s="2">
        <v>0.3923611111111111</v>
      </c>
    </row>
    <row r="22" spans="1:6" x14ac:dyDescent="0.25">
      <c r="A22" t="s">
        <v>120</v>
      </c>
      <c r="B22" t="s">
        <v>61</v>
      </c>
      <c r="C22" s="6">
        <v>45292</v>
      </c>
      <c r="D22" s="2">
        <v>0.39097222222222222</v>
      </c>
      <c r="E22" s="2">
        <v>0.8305555555555556</v>
      </c>
      <c r="F22" s="2">
        <v>0.43958333333333333</v>
      </c>
    </row>
    <row r="23" spans="1:6" x14ac:dyDescent="0.25">
      <c r="A23" t="s">
        <v>121</v>
      </c>
      <c r="B23" t="s">
        <v>62</v>
      </c>
      <c r="C23" s="6">
        <v>45292</v>
      </c>
      <c r="D23" s="2">
        <v>0.37847222222222221</v>
      </c>
      <c r="E23" s="2">
        <v>0.75902777777777775</v>
      </c>
      <c r="F23" s="2">
        <v>0.38055555555555554</v>
      </c>
    </row>
    <row r="24" spans="1:6" x14ac:dyDescent="0.25">
      <c r="A24" t="s">
        <v>122</v>
      </c>
      <c r="B24" t="s">
        <v>63</v>
      </c>
      <c r="C24" s="6">
        <v>45292</v>
      </c>
      <c r="D24" s="2">
        <v>0.40972222222222221</v>
      </c>
      <c r="E24" s="2">
        <v>0.79374999999999996</v>
      </c>
      <c r="F24" s="2">
        <v>0.3840277777777778</v>
      </c>
    </row>
    <row r="25" spans="1:6" x14ac:dyDescent="0.25">
      <c r="A25" t="s">
        <v>123</v>
      </c>
      <c r="B25" t="s">
        <v>64</v>
      </c>
      <c r="C25" s="6">
        <v>45292</v>
      </c>
      <c r="D25" s="2">
        <v>0.37708333333333333</v>
      </c>
      <c r="E25" s="2">
        <v>0.7270833333333333</v>
      </c>
      <c r="F25" s="2">
        <v>0.35</v>
      </c>
    </row>
    <row r="26" spans="1:6" x14ac:dyDescent="0.25">
      <c r="A26" t="s">
        <v>124</v>
      </c>
      <c r="B26" t="s">
        <v>65</v>
      </c>
      <c r="C26" s="6">
        <v>45292</v>
      </c>
      <c r="D26" s="2">
        <v>0.37847222222222221</v>
      </c>
      <c r="E26" s="2">
        <v>0.77361111111111114</v>
      </c>
      <c r="F26" s="2">
        <v>0.39513888888888887</v>
      </c>
    </row>
    <row r="27" spans="1:6" x14ac:dyDescent="0.25">
      <c r="A27" t="s">
        <v>125</v>
      </c>
      <c r="B27" t="s">
        <v>66</v>
      </c>
      <c r="C27" s="6">
        <v>45292</v>
      </c>
      <c r="D27" s="2">
        <v>0.40972222222222221</v>
      </c>
      <c r="E27" s="2">
        <v>0.77152777777777781</v>
      </c>
      <c r="F27" s="2">
        <v>0.36180555555555555</v>
      </c>
    </row>
    <row r="28" spans="1:6" x14ac:dyDescent="0.25">
      <c r="A28" t="s">
        <v>126</v>
      </c>
      <c r="B28" t="s">
        <v>67</v>
      </c>
      <c r="C28" s="6">
        <v>45292</v>
      </c>
      <c r="D28" s="2">
        <v>0.41597222222222224</v>
      </c>
      <c r="E28" s="2">
        <v>0.78194444444444444</v>
      </c>
      <c r="F28" s="2">
        <v>0.3659722222222222</v>
      </c>
    </row>
    <row r="29" spans="1:6" x14ac:dyDescent="0.25">
      <c r="A29" t="s">
        <v>127</v>
      </c>
      <c r="B29" t="s">
        <v>68</v>
      </c>
      <c r="C29" s="6">
        <v>45292</v>
      </c>
      <c r="D29" s="2">
        <v>0.37777777777777777</v>
      </c>
      <c r="E29" s="2">
        <v>0.77500000000000002</v>
      </c>
      <c r="F29" s="2">
        <v>0.3972222222222222</v>
      </c>
    </row>
    <row r="30" spans="1:6" x14ac:dyDescent="0.25">
      <c r="A30" t="s">
        <v>128</v>
      </c>
      <c r="B30" t="s">
        <v>69</v>
      </c>
      <c r="C30" s="6">
        <v>45292</v>
      </c>
      <c r="D30" s="2">
        <v>0.39583333333333331</v>
      </c>
      <c r="E30" s="2">
        <v>0.81527777777777777</v>
      </c>
      <c r="F30" s="2">
        <v>0.41944444444444445</v>
      </c>
    </row>
    <row r="31" spans="1:6" x14ac:dyDescent="0.25">
      <c r="A31" t="s">
        <v>129</v>
      </c>
      <c r="B31" t="s">
        <v>70</v>
      </c>
      <c r="C31" s="6">
        <v>45292</v>
      </c>
      <c r="D31" s="2">
        <v>0.39374999999999999</v>
      </c>
      <c r="E31" s="2">
        <v>0.72777777777777775</v>
      </c>
      <c r="F31" s="2">
        <v>0.33402777777777776</v>
      </c>
    </row>
    <row r="32" spans="1:6" x14ac:dyDescent="0.25">
      <c r="A32" t="s">
        <v>130</v>
      </c>
      <c r="B32" t="s">
        <v>71</v>
      </c>
      <c r="C32" s="6">
        <v>45292</v>
      </c>
      <c r="D32" s="2">
        <v>0.41458333333333336</v>
      </c>
      <c r="E32" s="2">
        <v>0.77569444444444446</v>
      </c>
      <c r="F32" s="2">
        <v>0.3611111111111111</v>
      </c>
    </row>
    <row r="33" spans="1:6" x14ac:dyDescent="0.25">
      <c r="A33" t="s">
        <v>131</v>
      </c>
      <c r="B33" t="s">
        <v>72</v>
      </c>
      <c r="C33" s="6">
        <v>45292</v>
      </c>
      <c r="D33" s="2">
        <v>0.37777777777777777</v>
      </c>
      <c r="E33" s="2">
        <v>0.81111111111111112</v>
      </c>
      <c r="F33" s="2">
        <v>0.43333333333333335</v>
      </c>
    </row>
    <row r="34" spans="1:6" x14ac:dyDescent="0.25">
      <c r="A34" t="s">
        <v>132</v>
      </c>
      <c r="B34" t="s">
        <v>73</v>
      </c>
      <c r="C34" s="6">
        <v>45292</v>
      </c>
      <c r="D34" s="2">
        <v>0.39513888888888887</v>
      </c>
      <c r="E34" s="2">
        <v>0.80555555555555558</v>
      </c>
      <c r="F34" s="2">
        <v>0.41041666666666665</v>
      </c>
    </row>
    <row r="35" spans="1:6" x14ac:dyDescent="0.25">
      <c r="A35" t="s">
        <v>133</v>
      </c>
      <c r="B35" t="s">
        <v>75</v>
      </c>
      <c r="C35" s="6">
        <v>45292</v>
      </c>
      <c r="D35" s="2">
        <v>0.3923611111111111</v>
      </c>
      <c r="E35" s="2">
        <v>0.80972222222222223</v>
      </c>
      <c r="F35" s="2">
        <v>0.41736111111111113</v>
      </c>
    </row>
    <row r="36" spans="1:6" x14ac:dyDescent="0.25">
      <c r="A36" t="s">
        <v>134</v>
      </c>
      <c r="B36" t="s">
        <v>76</v>
      </c>
      <c r="C36" s="6">
        <v>45292</v>
      </c>
      <c r="D36" s="2">
        <v>0.38124999999999998</v>
      </c>
      <c r="E36" s="2">
        <v>0.82847222222222228</v>
      </c>
      <c r="F36" s="2">
        <v>0.44722222222222224</v>
      </c>
    </row>
    <row r="37" spans="1:6" x14ac:dyDescent="0.25">
      <c r="A37" t="s">
        <v>135</v>
      </c>
      <c r="B37" t="s">
        <v>77</v>
      </c>
      <c r="C37" s="6">
        <v>45292</v>
      </c>
      <c r="D37" s="2">
        <v>0.38194444444444442</v>
      </c>
      <c r="E37" s="2">
        <v>0.79236111111111107</v>
      </c>
      <c r="F37" s="2">
        <v>0.41041666666666665</v>
      </c>
    </row>
    <row r="38" spans="1:6" x14ac:dyDescent="0.25">
      <c r="A38" t="s">
        <v>136</v>
      </c>
      <c r="B38" t="s">
        <v>78</v>
      </c>
      <c r="C38" s="6">
        <v>45292</v>
      </c>
      <c r="D38" s="2">
        <v>0.39374999999999999</v>
      </c>
      <c r="E38" s="2">
        <v>0.78611111111111109</v>
      </c>
      <c r="F38" s="2">
        <v>0.3923611111111111</v>
      </c>
    </row>
    <row r="39" spans="1:6" x14ac:dyDescent="0.25">
      <c r="A39" t="s">
        <v>137</v>
      </c>
      <c r="B39" t="s">
        <v>79</v>
      </c>
      <c r="C39" s="6">
        <v>45292</v>
      </c>
      <c r="D39" s="2">
        <v>0.40277777777777779</v>
      </c>
      <c r="E39" s="2">
        <v>0.77152777777777781</v>
      </c>
      <c r="F39" s="2">
        <v>0.36875000000000002</v>
      </c>
    </row>
    <row r="40" spans="1:6" x14ac:dyDescent="0.25">
      <c r="A40" t="s">
        <v>138</v>
      </c>
      <c r="B40" t="s">
        <v>80</v>
      </c>
      <c r="C40" s="6">
        <v>45292</v>
      </c>
      <c r="D40" s="2">
        <v>0.3972222222222222</v>
      </c>
      <c r="E40" s="2">
        <v>0.77013888888888893</v>
      </c>
      <c r="F40" s="2">
        <v>0.37291666666666667</v>
      </c>
    </row>
    <row r="41" spans="1:6" x14ac:dyDescent="0.25">
      <c r="A41" t="s">
        <v>139</v>
      </c>
      <c r="B41" t="s">
        <v>81</v>
      </c>
      <c r="C41" s="6">
        <v>45292</v>
      </c>
      <c r="D41" s="2">
        <v>0.38124999999999998</v>
      </c>
      <c r="E41" s="2">
        <v>0.72083333333333333</v>
      </c>
      <c r="F41" s="2">
        <v>0.33958333333333335</v>
      </c>
    </row>
    <row r="42" spans="1:6" x14ac:dyDescent="0.25">
      <c r="A42" t="s">
        <v>140</v>
      </c>
      <c r="B42" t="s">
        <v>11</v>
      </c>
      <c r="C42" s="6">
        <v>45293</v>
      </c>
      <c r="D42" s="2">
        <v>0.38680555555555557</v>
      </c>
      <c r="E42" s="2">
        <v>0.75972222222222219</v>
      </c>
      <c r="F42" s="2">
        <v>0.37291666666666667</v>
      </c>
    </row>
    <row r="43" spans="1:6" x14ac:dyDescent="0.25">
      <c r="A43" t="s">
        <v>141</v>
      </c>
      <c r="B43" t="s">
        <v>19</v>
      </c>
      <c r="C43" s="6">
        <v>45293</v>
      </c>
      <c r="D43" s="2">
        <v>0.37847222222222221</v>
      </c>
      <c r="E43" s="2">
        <v>0.72222222222222221</v>
      </c>
      <c r="F43" s="2">
        <v>0.34375</v>
      </c>
    </row>
    <row r="44" spans="1:6" x14ac:dyDescent="0.25">
      <c r="A44" t="s">
        <v>144</v>
      </c>
      <c r="B44" t="s">
        <v>28</v>
      </c>
      <c r="C44" s="6">
        <v>45293</v>
      </c>
      <c r="D44" s="2">
        <v>0.40694444444444444</v>
      </c>
      <c r="E44" s="2">
        <v>0.78263888888888888</v>
      </c>
      <c r="F44" s="2">
        <v>0.37569444444444444</v>
      </c>
    </row>
    <row r="45" spans="1:6" x14ac:dyDescent="0.25">
      <c r="A45" t="s">
        <v>145</v>
      </c>
      <c r="B45" t="s">
        <v>30</v>
      </c>
      <c r="C45" s="6">
        <v>45293</v>
      </c>
      <c r="D45" s="2">
        <v>0.3972222222222222</v>
      </c>
      <c r="E45" s="2">
        <v>0.82499999999999996</v>
      </c>
      <c r="F45" s="2">
        <v>0.42777777777777776</v>
      </c>
    </row>
    <row r="46" spans="1:6" x14ac:dyDescent="0.25">
      <c r="A46" t="s">
        <v>146</v>
      </c>
      <c r="B46" t="s">
        <v>33</v>
      </c>
      <c r="C46" s="6">
        <v>45293</v>
      </c>
      <c r="D46" s="2">
        <v>0.40625</v>
      </c>
      <c r="E46" s="2">
        <v>0.74305555555555558</v>
      </c>
      <c r="F46" s="2">
        <v>0.33680555555555558</v>
      </c>
    </row>
    <row r="47" spans="1:6" x14ac:dyDescent="0.25">
      <c r="A47" t="s">
        <v>147</v>
      </c>
      <c r="B47" t="s">
        <v>37</v>
      </c>
      <c r="C47" s="6">
        <v>45293</v>
      </c>
      <c r="D47" s="2">
        <v>0.40972222222222221</v>
      </c>
      <c r="E47" s="2">
        <v>0.78680555555555554</v>
      </c>
      <c r="F47" s="2">
        <v>0.37708333333333333</v>
      </c>
    </row>
    <row r="48" spans="1:6" x14ac:dyDescent="0.25">
      <c r="A48" t="s">
        <v>148</v>
      </c>
      <c r="B48" t="s">
        <v>39</v>
      </c>
      <c r="C48" s="6">
        <v>45293</v>
      </c>
      <c r="D48" s="2">
        <v>0.39305555555555555</v>
      </c>
      <c r="E48" s="2">
        <v>0.77013888888888893</v>
      </c>
      <c r="F48" s="2">
        <v>0.37708333333333333</v>
      </c>
    </row>
    <row r="49" spans="1:6" x14ac:dyDescent="0.25">
      <c r="A49" t="s">
        <v>149</v>
      </c>
      <c r="B49" t="s">
        <v>42</v>
      </c>
      <c r="C49" s="6">
        <v>45293</v>
      </c>
      <c r="D49" s="2">
        <v>0.41388888888888886</v>
      </c>
      <c r="E49" s="2">
        <v>0.77152777777777781</v>
      </c>
      <c r="F49" s="2">
        <v>0.3576388888888889</v>
      </c>
    </row>
    <row r="50" spans="1:6" x14ac:dyDescent="0.25">
      <c r="A50" t="s">
        <v>150</v>
      </c>
      <c r="B50" t="s">
        <v>45</v>
      </c>
      <c r="C50" s="6">
        <v>45293</v>
      </c>
      <c r="D50" s="2">
        <v>0.39374999999999999</v>
      </c>
      <c r="E50" s="2">
        <v>0.74375000000000002</v>
      </c>
      <c r="F50" s="2">
        <v>0.35</v>
      </c>
    </row>
    <row r="51" spans="1:6" x14ac:dyDescent="0.25">
      <c r="A51" t="s">
        <v>151</v>
      </c>
      <c r="B51" t="s">
        <v>47</v>
      </c>
      <c r="C51" s="6">
        <v>45293</v>
      </c>
      <c r="D51" s="2">
        <v>0.37569444444444444</v>
      </c>
      <c r="E51" s="2">
        <v>0.80902777777777779</v>
      </c>
      <c r="F51" s="2">
        <v>0.43333333333333335</v>
      </c>
    </row>
    <row r="52" spans="1:6" x14ac:dyDescent="0.25">
      <c r="A52" t="s">
        <v>152</v>
      </c>
      <c r="B52" t="s">
        <v>48</v>
      </c>
      <c r="C52" s="6">
        <v>45293</v>
      </c>
      <c r="D52" s="2">
        <v>0.40069444444444446</v>
      </c>
      <c r="E52" s="2">
        <v>0.82777777777777772</v>
      </c>
      <c r="F52" s="2">
        <v>0.42708333333333331</v>
      </c>
    </row>
    <row r="53" spans="1:6" x14ac:dyDescent="0.25">
      <c r="A53" t="s">
        <v>153</v>
      </c>
      <c r="B53" t="s">
        <v>50</v>
      </c>
      <c r="C53" s="6">
        <v>45293</v>
      </c>
      <c r="D53" s="2">
        <v>0.39444444444444443</v>
      </c>
      <c r="E53" s="2">
        <v>0.83611111111111114</v>
      </c>
      <c r="F53" s="2">
        <v>0.44166666666666665</v>
      </c>
    </row>
    <row r="54" spans="1:6" x14ac:dyDescent="0.25">
      <c r="A54" t="s">
        <v>154</v>
      </c>
      <c r="B54" t="s">
        <v>51</v>
      </c>
      <c r="C54" s="6">
        <v>45293</v>
      </c>
      <c r="D54" s="2">
        <v>0.40277777777777779</v>
      </c>
      <c r="E54" s="2">
        <v>0.84513888888888888</v>
      </c>
      <c r="F54" s="2">
        <v>0.44236111111111109</v>
      </c>
    </row>
    <row r="55" spans="1:6" x14ac:dyDescent="0.25">
      <c r="A55" t="s">
        <v>155</v>
      </c>
      <c r="B55" t="s">
        <v>53</v>
      </c>
      <c r="C55" s="6">
        <v>45293</v>
      </c>
      <c r="D55" s="2">
        <v>0.39930555555555558</v>
      </c>
      <c r="E55" s="2">
        <v>0.75069444444444444</v>
      </c>
      <c r="F55" s="2">
        <v>0.35138888888888886</v>
      </c>
    </row>
    <row r="56" spans="1:6" x14ac:dyDescent="0.25">
      <c r="A56" t="s">
        <v>156</v>
      </c>
      <c r="B56" t="s">
        <v>54</v>
      </c>
      <c r="C56" s="6">
        <v>45293</v>
      </c>
      <c r="D56" s="2">
        <v>0.39027777777777778</v>
      </c>
      <c r="E56" s="2">
        <v>0.78194444444444444</v>
      </c>
      <c r="F56" s="2">
        <v>0.39166666666666666</v>
      </c>
    </row>
    <row r="57" spans="1:6" x14ac:dyDescent="0.25">
      <c r="A57" t="s">
        <v>157</v>
      </c>
      <c r="B57" t="s">
        <v>55</v>
      </c>
      <c r="C57" s="6">
        <v>45293</v>
      </c>
      <c r="D57" s="2">
        <v>0.4152777777777778</v>
      </c>
      <c r="E57" s="2">
        <v>0.79861111111111116</v>
      </c>
      <c r="F57" s="2">
        <v>0.38333333333333336</v>
      </c>
    </row>
    <row r="58" spans="1:6" x14ac:dyDescent="0.25">
      <c r="A58" t="s">
        <v>158</v>
      </c>
      <c r="B58" t="s">
        <v>58</v>
      </c>
      <c r="C58" s="6">
        <v>45293</v>
      </c>
      <c r="D58" s="2">
        <v>0.38124999999999998</v>
      </c>
      <c r="E58" s="2">
        <v>0.71458333333333335</v>
      </c>
      <c r="F58" s="2">
        <v>0.33333333333333331</v>
      </c>
    </row>
    <row r="59" spans="1:6" x14ac:dyDescent="0.25">
      <c r="A59" t="s">
        <v>161</v>
      </c>
      <c r="B59" t="s">
        <v>60</v>
      </c>
      <c r="C59" s="6">
        <v>45293</v>
      </c>
      <c r="D59" s="2">
        <v>0.41180555555555554</v>
      </c>
      <c r="E59" s="2">
        <v>0.81736111111111109</v>
      </c>
      <c r="F59" s="2">
        <v>0.40555555555555556</v>
      </c>
    </row>
    <row r="60" spans="1:6" x14ac:dyDescent="0.25">
      <c r="A60" t="s">
        <v>162</v>
      </c>
      <c r="B60" t="s">
        <v>61</v>
      </c>
      <c r="C60" s="6">
        <v>45293</v>
      </c>
      <c r="D60" s="2">
        <v>0.40763888888888888</v>
      </c>
      <c r="E60" s="2">
        <v>0.79861111111111116</v>
      </c>
      <c r="F60" s="2">
        <v>0.39097222222222222</v>
      </c>
    </row>
    <row r="61" spans="1:6" x14ac:dyDescent="0.25">
      <c r="A61" t="s">
        <v>163</v>
      </c>
      <c r="B61" t="s">
        <v>62</v>
      </c>
      <c r="C61" s="6">
        <v>45293</v>
      </c>
      <c r="D61" s="2">
        <v>0.39791666666666664</v>
      </c>
      <c r="E61" s="2">
        <v>0.80902777777777779</v>
      </c>
      <c r="F61" s="2">
        <v>0.41111111111111109</v>
      </c>
    </row>
    <row r="62" spans="1:6" x14ac:dyDescent="0.25">
      <c r="A62" t="s">
        <v>165</v>
      </c>
      <c r="B62" t="s">
        <v>64</v>
      </c>
      <c r="C62" s="6">
        <v>45293</v>
      </c>
      <c r="D62" s="2">
        <v>0.4</v>
      </c>
      <c r="E62" s="2">
        <v>0.75208333333333333</v>
      </c>
      <c r="F62" s="2">
        <v>0.35208333333333336</v>
      </c>
    </row>
    <row r="63" spans="1:6" x14ac:dyDescent="0.25">
      <c r="A63" t="s">
        <v>166</v>
      </c>
      <c r="B63" t="s">
        <v>65</v>
      </c>
      <c r="C63" s="6">
        <v>45293</v>
      </c>
      <c r="D63" s="2">
        <v>0.38680555555555557</v>
      </c>
      <c r="E63" s="2">
        <v>0.77638888888888891</v>
      </c>
      <c r="F63" s="2">
        <v>0.38958333333333334</v>
      </c>
    </row>
    <row r="64" spans="1:6" x14ac:dyDescent="0.25">
      <c r="A64" t="s">
        <v>167</v>
      </c>
      <c r="B64" t="s">
        <v>66</v>
      </c>
      <c r="C64" s="6">
        <v>45293</v>
      </c>
      <c r="D64" s="2">
        <v>0.4152777777777778</v>
      </c>
      <c r="E64" s="2">
        <v>0.86458333333333337</v>
      </c>
      <c r="F64" s="2">
        <v>0.44930555555555557</v>
      </c>
    </row>
    <row r="65" spans="1:6" x14ac:dyDescent="0.25">
      <c r="A65" t="s">
        <v>168</v>
      </c>
      <c r="B65" t="s">
        <v>67</v>
      </c>
      <c r="C65" s="6">
        <v>45293</v>
      </c>
      <c r="D65" s="2">
        <v>0.39305555555555555</v>
      </c>
      <c r="E65" s="2">
        <v>0.81805555555555554</v>
      </c>
      <c r="F65" s="2">
        <v>0.42499999999999999</v>
      </c>
    </row>
    <row r="66" spans="1:6" x14ac:dyDescent="0.25">
      <c r="A66" t="s">
        <v>169</v>
      </c>
      <c r="B66" t="s">
        <v>68</v>
      </c>
      <c r="C66" s="6">
        <v>45293</v>
      </c>
      <c r="D66" s="2">
        <v>0.40208333333333335</v>
      </c>
      <c r="E66" s="2">
        <v>0.79305555555555551</v>
      </c>
      <c r="F66" s="2">
        <v>0.39097222222222222</v>
      </c>
    </row>
    <row r="67" spans="1:6" x14ac:dyDescent="0.25">
      <c r="A67" t="s">
        <v>170</v>
      </c>
      <c r="B67" t="s">
        <v>69</v>
      </c>
      <c r="C67" s="6">
        <v>45293</v>
      </c>
      <c r="D67" s="2">
        <v>0.40486111111111112</v>
      </c>
      <c r="E67" s="2">
        <v>0.75277777777777777</v>
      </c>
      <c r="F67" s="2">
        <v>0.34791666666666665</v>
      </c>
    </row>
    <row r="68" spans="1:6" x14ac:dyDescent="0.25">
      <c r="A68" t="s">
        <v>171</v>
      </c>
      <c r="B68" t="s">
        <v>70</v>
      </c>
      <c r="C68" s="6">
        <v>45293</v>
      </c>
      <c r="D68" s="2">
        <v>0.39374999999999999</v>
      </c>
      <c r="E68" s="2">
        <v>0.75486111111111109</v>
      </c>
      <c r="F68" s="2">
        <v>0.3611111111111111</v>
      </c>
    </row>
    <row r="69" spans="1:6" x14ac:dyDescent="0.25">
      <c r="A69" t="s">
        <v>172</v>
      </c>
      <c r="B69" t="s">
        <v>71</v>
      </c>
      <c r="C69" s="6">
        <v>45293</v>
      </c>
      <c r="D69" s="2">
        <v>0.39930555555555558</v>
      </c>
      <c r="E69" s="2">
        <v>0.79722222222222228</v>
      </c>
      <c r="F69" s="2">
        <v>0.39791666666666664</v>
      </c>
    </row>
    <row r="70" spans="1:6" x14ac:dyDescent="0.25">
      <c r="A70" t="s">
        <v>173</v>
      </c>
      <c r="B70" t="s">
        <v>72</v>
      </c>
      <c r="C70" s="6">
        <v>45293</v>
      </c>
      <c r="D70" s="2">
        <v>0.39861111111111114</v>
      </c>
      <c r="E70" s="2">
        <v>0.74513888888888891</v>
      </c>
      <c r="F70" s="2">
        <v>0.34652777777777777</v>
      </c>
    </row>
    <row r="71" spans="1:6" x14ac:dyDescent="0.25">
      <c r="A71" t="s">
        <v>175</v>
      </c>
      <c r="B71" t="s">
        <v>75</v>
      </c>
      <c r="C71" s="6">
        <v>45293</v>
      </c>
      <c r="D71" s="2">
        <v>0.40138888888888891</v>
      </c>
      <c r="E71" s="2">
        <v>0.85902777777777772</v>
      </c>
      <c r="F71" s="2">
        <v>0.45763888888888887</v>
      </c>
    </row>
    <row r="72" spans="1:6" x14ac:dyDescent="0.25">
      <c r="A72" t="s">
        <v>176</v>
      </c>
      <c r="B72" t="s">
        <v>76</v>
      </c>
      <c r="C72" s="6">
        <v>45293</v>
      </c>
      <c r="D72" s="2">
        <v>0.37986111111111109</v>
      </c>
      <c r="E72" s="2">
        <v>0.82986111111111116</v>
      </c>
      <c r="F72" s="2">
        <v>0.45</v>
      </c>
    </row>
    <row r="73" spans="1:6" x14ac:dyDescent="0.25">
      <c r="A73" t="s">
        <v>177</v>
      </c>
      <c r="B73" t="s">
        <v>77</v>
      </c>
      <c r="C73" s="6">
        <v>45293</v>
      </c>
      <c r="D73" s="2">
        <v>0.38333333333333336</v>
      </c>
      <c r="E73" s="2">
        <v>0.81736111111111109</v>
      </c>
      <c r="F73" s="2">
        <v>0.43402777777777779</v>
      </c>
    </row>
    <row r="74" spans="1:6" x14ac:dyDescent="0.25">
      <c r="A74" t="s">
        <v>178</v>
      </c>
      <c r="B74" t="s">
        <v>78</v>
      </c>
      <c r="C74" s="6">
        <v>45293</v>
      </c>
      <c r="D74" s="2">
        <v>0.40694444444444444</v>
      </c>
      <c r="E74" s="2">
        <v>0.78194444444444444</v>
      </c>
      <c r="F74" s="2">
        <v>0.375</v>
      </c>
    </row>
    <row r="75" spans="1:6" x14ac:dyDescent="0.25">
      <c r="A75" t="s">
        <v>179</v>
      </c>
      <c r="B75" t="s">
        <v>79</v>
      </c>
      <c r="C75" s="6">
        <v>45293</v>
      </c>
      <c r="D75" s="2">
        <v>0.37916666666666665</v>
      </c>
      <c r="E75" s="2">
        <v>0.7319444444444444</v>
      </c>
      <c r="F75" s="2">
        <v>0.3527777777777778</v>
      </c>
    </row>
    <row r="76" spans="1:6" x14ac:dyDescent="0.25">
      <c r="A76" t="s">
        <v>180</v>
      </c>
      <c r="B76" t="s">
        <v>80</v>
      </c>
      <c r="C76" s="6">
        <v>45293</v>
      </c>
      <c r="D76" s="2">
        <v>0.3972222222222222</v>
      </c>
      <c r="E76" s="2">
        <v>0.79861111111111116</v>
      </c>
      <c r="F76" s="2">
        <v>0.40138888888888891</v>
      </c>
    </row>
    <row r="77" spans="1:6" x14ac:dyDescent="0.25">
      <c r="A77" t="s">
        <v>181</v>
      </c>
      <c r="B77" t="s">
        <v>81</v>
      </c>
      <c r="C77" s="6">
        <v>45293</v>
      </c>
      <c r="D77" s="2">
        <v>0.41180555555555554</v>
      </c>
      <c r="E77" s="2">
        <v>0.82777777777777772</v>
      </c>
      <c r="F77" s="2">
        <v>0.41597222222222224</v>
      </c>
    </row>
    <row r="78" spans="1:6" x14ac:dyDescent="0.25">
      <c r="A78" t="s">
        <v>182</v>
      </c>
      <c r="B78" t="s">
        <v>11</v>
      </c>
      <c r="C78" s="6">
        <v>45294</v>
      </c>
      <c r="D78" s="2">
        <v>0.39374999999999999</v>
      </c>
      <c r="E78" s="2">
        <v>0.76736111111111116</v>
      </c>
      <c r="F78" s="2">
        <v>0.37361111111111112</v>
      </c>
    </row>
    <row r="79" spans="1:6" x14ac:dyDescent="0.25">
      <c r="A79" t="s">
        <v>183</v>
      </c>
      <c r="B79" t="s">
        <v>19</v>
      </c>
      <c r="C79" s="6">
        <v>45294</v>
      </c>
      <c r="D79" s="2">
        <v>0.4</v>
      </c>
      <c r="E79" s="2">
        <v>0.7368055555555556</v>
      </c>
      <c r="F79" s="2">
        <v>0.33680555555555558</v>
      </c>
    </row>
    <row r="80" spans="1:6" x14ac:dyDescent="0.25">
      <c r="A80" t="s">
        <v>184</v>
      </c>
      <c r="B80" t="s">
        <v>24</v>
      </c>
      <c r="C80" s="6">
        <v>45294</v>
      </c>
      <c r="D80" s="2">
        <v>0.39374999999999999</v>
      </c>
      <c r="E80" s="2">
        <v>0.72986111111111107</v>
      </c>
      <c r="F80" s="2">
        <v>0.33611111111111114</v>
      </c>
    </row>
    <row r="81" spans="1:6" x14ac:dyDescent="0.25">
      <c r="A81" t="s">
        <v>185</v>
      </c>
      <c r="B81" t="s">
        <v>28</v>
      </c>
      <c r="C81" s="6">
        <v>45294</v>
      </c>
      <c r="D81" s="2">
        <v>0.39097222222222222</v>
      </c>
      <c r="E81" s="2">
        <v>0.78541666666666665</v>
      </c>
      <c r="F81" s="2">
        <v>0.39444444444444443</v>
      </c>
    </row>
    <row r="82" spans="1:6" x14ac:dyDescent="0.25">
      <c r="A82" t="s">
        <v>186</v>
      </c>
      <c r="B82" t="s">
        <v>30</v>
      </c>
      <c r="C82" s="6">
        <v>45294</v>
      </c>
      <c r="D82" s="2">
        <v>0.38472222222222224</v>
      </c>
      <c r="E82" s="2">
        <v>0.83680555555555558</v>
      </c>
      <c r="F82" s="2">
        <v>0.45208333333333334</v>
      </c>
    </row>
    <row r="83" spans="1:6" x14ac:dyDescent="0.25">
      <c r="A83" t="s">
        <v>187</v>
      </c>
      <c r="B83" t="s">
        <v>33</v>
      </c>
      <c r="C83" s="6">
        <v>45294</v>
      </c>
      <c r="D83" s="2">
        <v>0.38611111111111113</v>
      </c>
      <c r="E83" s="2">
        <v>0.77638888888888891</v>
      </c>
      <c r="F83" s="2">
        <v>0.39027777777777778</v>
      </c>
    </row>
    <row r="84" spans="1:6" x14ac:dyDescent="0.25">
      <c r="A84" t="s">
        <v>188</v>
      </c>
      <c r="B84" t="s">
        <v>37</v>
      </c>
      <c r="C84" s="6">
        <v>45294</v>
      </c>
      <c r="D84" s="2">
        <v>0.38541666666666669</v>
      </c>
      <c r="E84" s="2">
        <v>0.7631944444444444</v>
      </c>
      <c r="F84" s="2">
        <v>0.37777777777777777</v>
      </c>
    </row>
    <row r="85" spans="1:6" x14ac:dyDescent="0.25">
      <c r="A85" t="s">
        <v>189</v>
      </c>
      <c r="B85" t="s">
        <v>39</v>
      </c>
      <c r="C85" s="6">
        <v>45294</v>
      </c>
      <c r="D85" s="2">
        <v>0.39166666666666666</v>
      </c>
      <c r="E85" s="2">
        <v>0.75902777777777775</v>
      </c>
      <c r="F85" s="2">
        <v>0.36736111111111114</v>
      </c>
    </row>
    <row r="86" spans="1:6" x14ac:dyDescent="0.25">
      <c r="A86" t="s">
        <v>190</v>
      </c>
      <c r="B86" t="s">
        <v>42</v>
      </c>
      <c r="C86" s="6">
        <v>45294</v>
      </c>
      <c r="D86" s="2">
        <v>0.39374999999999999</v>
      </c>
      <c r="E86" s="2">
        <v>0.84583333333333333</v>
      </c>
      <c r="F86" s="2">
        <v>0.45208333333333334</v>
      </c>
    </row>
    <row r="87" spans="1:6" x14ac:dyDescent="0.25">
      <c r="A87" t="s">
        <v>191</v>
      </c>
      <c r="B87" t="s">
        <v>45</v>
      </c>
      <c r="C87" s="6">
        <v>45294</v>
      </c>
      <c r="D87" s="2">
        <v>0.39791666666666664</v>
      </c>
      <c r="E87" s="2">
        <v>0.80208333333333337</v>
      </c>
      <c r="F87" s="2">
        <v>0.40416666666666667</v>
      </c>
    </row>
    <row r="88" spans="1:6" x14ac:dyDescent="0.25">
      <c r="A88" t="s">
        <v>192</v>
      </c>
      <c r="B88" t="s">
        <v>47</v>
      </c>
      <c r="C88" s="6">
        <v>45294</v>
      </c>
      <c r="D88" s="2">
        <v>0.41388888888888886</v>
      </c>
      <c r="E88" s="2">
        <v>0.76527777777777772</v>
      </c>
      <c r="F88" s="2">
        <v>0.35138888888888886</v>
      </c>
    </row>
    <row r="89" spans="1:6" x14ac:dyDescent="0.25">
      <c r="A89" t="s">
        <v>193</v>
      </c>
      <c r="B89" t="s">
        <v>48</v>
      </c>
      <c r="C89" s="6">
        <v>45294</v>
      </c>
      <c r="D89" s="2">
        <v>0.3888888888888889</v>
      </c>
      <c r="E89" s="2">
        <v>0.79374999999999996</v>
      </c>
      <c r="F89" s="2">
        <v>0.40486111111111112</v>
      </c>
    </row>
    <row r="90" spans="1:6" x14ac:dyDescent="0.25">
      <c r="A90" t="s">
        <v>194</v>
      </c>
      <c r="B90" t="s">
        <v>50</v>
      </c>
      <c r="C90" s="6">
        <v>45294</v>
      </c>
      <c r="D90" s="2">
        <v>0.39930555555555558</v>
      </c>
      <c r="E90" s="2">
        <v>0.84583333333333333</v>
      </c>
      <c r="F90" s="2">
        <v>0.4465277777777778</v>
      </c>
    </row>
    <row r="91" spans="1:6" x14ac:dyDescent="0.25">
      <c r="A91" t="s">
        <v>195</v>
      </c>
      <c r="B91" t="s">
        <v>51</v>
      </c>
      <c r="C91" s="6">
        <v>45294</v>
      </c>
      <c r="D91" s="2">
        <v>0.41180555555555554</v>
      </c>
      <c r="E91" s="2">
        <v>0.83680555555555558</v>
      </c>
      <c r="F91" s="2">
        <v>0.42499999999999999</v>
      </c>
    </row>
    <row r="92" spans="1:6" x14ac:dyDescent="0.25">
      <c r="A92" t="s">
        <v>196</v>
      </c>
      <c r="B92" t="s">
        <v>53</v>
      </c>
      <c r="C92" s="6">
        <v>45294</v>
      </c>
      <c r="D92" s="2">
        <v>0.39861111111111114</v>
      </c>
      <c r="E92" s="2">
        <v>0.78749999999999998</v>
      </c>
      <c r="F92" s="2">
        <v>0.3888888888888889</v>
      </c>
    </row>
    <row r="93" spans="1:6" x14ac:dyDescent="0.25">
      <c r="A93" t="s">
        <v>197</v>
      </c>
      <c r="B93" t="s">
        <v>54</v>
      </c>
      <c r="C93" s="6">
        <v>45294</v>
      </c>
      <c r="D93" s="2">
        <v>0.40138888888888891</v>
      </c>
      <c r="E93" s="2">
        <v>0.75902777777777775</v>
      </c>
      <c r="F93" s="2">
        <v>0.3576388888888889</v>
      </c>
    </row>
    <row r="94" spans="1:6" x14ac:dyDescent="0.25">
      <c r="A94" t="s">
        <v>198</v>
      </c>
      <c r="B94" t="s">
        <v>55</v>
      </c>
      <c r="C94" s="6">
        <v>45294</v>
      </c>
      <c r="D94" s="2">
        <v>0.38750000000000001</v>
      </c>
      <c r="E94" s="2">
        <v>0.74444444444444446</v>
      </c>
      <c r="F94" s="2">
        <v>0.35694444444444445</v>
      </c>
    </row>
    <row r="95" spans="1:6" x14ac:dyDescent="0.25">
      <c r="A95" t="s">
        <v>199</v>
      </c>
      <c r="B95" t="s">
        <v>58</v>
      </c>
      <c r="C95" s="6">
        <v>45294</v>
      </c>
      <c r="D95" s="2">
        <v>0.4152777777777778</v>
      </c>
      <c r="E95" s="2">
        <v>0.82777777777777772</v>
      </c>
      <c r="F95" s="2">
        <v>0.41249999999999998</v>
      </c>
    </row>
    <row r="96" spans="1:6" x14ac:dyDescent="0.25">
      <c r="A96" t="s">
        <v>200</v>
      </c>
      <c r="B96" t="s">
        <v>59</v>
      </c>
      <c r="C96" s="6">
        <v>45294</v>
      </c>
      <c r="D96" s="2">
        <v>0.39166666666666666</v>
      </c>
      <c r="E96" s="2">
        <v>0.8354166666666667</v>
      </c>
      <c r="F96" s="2">
        <v>0.44374999999999998</v>
      </c>
    </row>
    <row r="97" spans="1:6" x14ac:dyDescent="0.25">
      <c r="A97" t="s">
        <v>201</v>
      </c>
      <c r="B97" t="s">
        <v>60</v>
      </c>
      <c r="C97" s="6">
        <v>45294</v>
      </c>
      <c r="D97" s="2">
        <v>0.40138888888888891</v>
      </c>
      <c r="E97" s="2">
        <v>0.73819444444444449</v>
      </c>
      <c r="F97" s="2">
        <v>0.33680555555555558</v>
      </c>
    </row>
    <row r="98" spans="1:6" x14ac:dyDescent="0.25">
      <c r="A98" t="s">
        <v>202</v>
      </c>
      <c r="B98" t="s">
        <v>61</v>
      </c>
      <c r="C98" s="6">
        <v>45294</v>
      </c>
      <c r="D98" s="2">
        <v>0.37986111111111109</v>
      </c>
      <c r="E98" s="2">
        <v>0.72083333333333333</v>
      </c>
      <c r="F98" s="2">
        <v>0.34097222222222223</v>
      </c>
    </row>
    <row r="99" spans="1:6" x14ac:dyDescent="0.25">
      <c r="A99" t="s">
        <v>203</v>
      </c>
      <c r="B99" t="s">
        <v>62</v>
      </c>
      <c r="C99" s="6">
        <v>45294</v>
      </c>
      <c r="D99" s="2">
        <v>0.39305555555555555</v>
      </c>
      <c r="E99" s="2">
        <v>0.74097222222222225</v>
      </c>
      <c r="F99" s="2">
        <v>0.34791666666666665</v>
      </c>
    </row>
    <row r="100" spans="1:6" x14ac:dyDescent="0.25">
      <c r="A100" t="s">
        <v>204</v>
      </c>
      <c r="B100" t="s">
        <v>63</v>
      </c>
      <c r="C100" s="6">
        <v>45294</v>
      </c>
      <c r="D100" s="2">
        <v>0.40069444444444446</v>
      </c>
      <c r="E100" s="2">
        <v>0.78055555555555556</v>
      </c>
      <c r="F100" s="2">
        <v>0.37986111111111109</v>
      </c>
    </row>
    <row r="101" spans="1:6" x14ac:dyDescent="0.25">
      <c r="A101" t="s">
        <v>205</v>
      </c>
      <c r="B101" t="s">
        <v>64</v>
      </c>
      <c r="C101" s="6">
        <v>45294</v>
      </c>
      <c r="D101" s="2">
        <v>0.39861111111111114</v>
      </c>
      <c r="E101" s="2">
        <v>0.85486111111111107</v>
      </c>
      <c r="F101" s="2">
        <v>0.45624999999999999</v>
      </c>
    </row>
    <row r="102" spans="1:6" x14ac:dyDescent="0.25">
      <c r="A102" t="s">
        <v>206</v>
      </c>
      <c r="B102" t="s">
        <v>65</v>
      </c>
      <c r="C102" s="6">
        <v>45294</v>
      </c>
      <c r="D102" s="2">
        <v>0.4152777777777778</v>
      </c>
      <c r="E102" s="2">
        <v>0.81597222222222221</v>
      </c>
      <c r="F102" s="2">
        <v>0.40069444444444446</v>
      </c>
    </row>
    <row r="103" spans="1:6" x14ac:dyDescent="0.25">
      <c r="A103" t="s">
        <v>208</v>
      </c>
      <c r="B103" t="s">
        <v>67</v>
      </c>
      <c r="C103" s="6">
        <v>45294</v>
      </c>
      <c r="D103" s="2">
        <v>0.41597222222222224</v>
      </c>
      <c r="E103" s="2">
        <v>0.77708333333333335</v>
      </c>
      <c r="F103" s="2">
        <v>0.3611111111111111</v>
      </c>
    </row>
    <row r="104" spans="1:6" x14ac:dyDescent="0.25">
      <c r="A104" t="s">
        <v>209</v>
      </c>
      <c r="B104" t="s">
        <v>68</v>
      </c>
      <c r="C104" s="6">
        <v>45294</v>
      </c>
      <c r="D104" s="2">
        <v>0.40277777777777779</v>
      </c>
      <c r="E104" s="2">
        <v>0.78749999999999998</v>
      </c>
      <c r="F104" s="2">
        <v>0.38472222222222224</v>
      </c>
    </row>
    <row r="105" spans="1:6" x14ac:dyDescent="0.25">
      <c r="A105" t="s">
        <v>210</v>
      </c>
      <c r="B105" t="s">
        <v>69</v>
      </c>
      <c r="C105" s="6">
        <v>45294</v>
      </c>
      <c r="D105" s="2">
        <v>0.40347222222222223</v>
      </c>
      <c r="E105" s="2">
        <v>0.82291666666666663</v>
      </c>
      <c r="F105" s="2">
        <v>0.41944444444444445</v>
      </c>
    </row>
    <row r="106" spans="1:6" x14ac:dyDescent="0.25">
      <c r="A106" t="s">
        <v>211</v>
      </c>
      <c r="B106" t="s">
        <v>70</v>
      </c>
      <c r="C106" s="6">
        <v>45294</v>
      </c>
      <c r="D106" s="2">
        <v>0.39027777777777778</v>
      </c>
      <c r="E106" s="2">
        <v>0.78055555555555556</v>
      </c>
      <c r="F106" s="2">
        <v>0.39027777777777778</v>
      </c>
    </row>
    <row r="107" spans="1:6" x14ac:dyDescent="0.25">
      <c r="A107" t="s">
        <v>212</v>
      </c>
      <c r="B107" t="s">
        <v>71</v>
      </c>
      <c r="C107" s="6">
        <v>45294</v>
      </c>
      <c r="D107" s="2">
        <v>0.39097222222222222</v>
      </c>
      <c r="E107" s="2">
        <v>0.81527777777777777</v>
      </c>
      <c r="F107" s="2">
        <v>0.42430555555555555</v>
      </c>
    </row>
    <row r="108" spans="1:6" x14ac:dyDescent="0.25">
      <c r="A108" t="s">
        <v>213</v>
      </c>
      <c r="B108" t="s">
        <v>72</v>
      </c>
      <c r="C108" s="6">
        <v>45294</v>
      </c>
      <c r="D108" s="2">
        <v>0.37638888888888888</v>
      </c>
      <c r="E108" s="2">
        <v>0.79513888888888884</v>
      </c>
      <c r="F108" s="2">
        <v>0.41875000000000001</v>
      </c>
    </row>
    <row r="109" spans="1:6" x14ac:dyDescent="0.25">
      <c r="A109" t="s">
        <v>215</v>
      </c>
      <c r="B109" t="s">
        <v>75</v>
      </c>
      <c r="C109" s="6">
        <v>45294</v>
      </c>
      <c r="D109" s="2">
        <v>0.40902777777777777</v>
      </c>
      <c r="E109" s="2">
        <v>0.78680555555555554</v>
      </c>
      <c r="F109" s="2">
        <v>0.37777777777777777</v>
      </c>
    </row>
    <row r="110" spans="1:6" x14ac:dyDescent="0.25">
      <c r="A110" t="s">
        <v>217</v>
      </c>
      <c r="B110" t="s">
        <v>77</v>
      </c>
      <c r="C110" s="6">
        <v>45294</v>
      </c>
      <c r="D110" s="2">
        <v>0.40277777777777779</v>
      </c>
      <c r="E110" s="2">
        <v>0.78472222222222221</v>
      </c>
      <c r="F110" s="2">
        <v>0.38194444444444442</v>
      </c>
    </row>
    <row r="111" spans="1:6" x14ac:dyDescent="0.25">
      <c r="A111" t="s">
        <v>218</v>
      </c>
      <c r="B111" t="s">
        <v>78</v>
      </c>
      <c r="C111" s="6">
        <v>45294</v>
      </c>
      <c r="D111" s="2">
        <v>0.375</v>
      </c>
      <c r="E111" s="2">
        <v>0.76180555555555551</v>
      </c>
      <c r="F111" s="2">
        <v>0.38680555555555557</v>
      </c>
    </row>
    <row r="112" spans="1:6" x14ac:dyDescent="0.25">
      <c r="A112" t="s">
        <v>219</v>
      </c>
      <c r="B112" t="s">
        <v>79</v>
      </c>
      <c r="C112" s="6">
        <v>45294</v>
      </c>
      <c r="D112" s="2">
        <v>0.37569444444444444</v>
      </c>
      <c r="E112" s="2">
        <v>0.72569444444444442</v>
      </c>
      <c r="F112" s="2">
        <v>0.35</v>
      </c>
    </row>
    <row r="113" spans="1:6" x14ac:dyDescent="0.25">
      <c r="A113" t="s">
        <v>220</v>
      </c>
      <c r="B113" t="s">
        <v>80</v>
      </c>
      <c r="C113" s="6">
        <v>45294</v>
      </c>
      <c r="D113" s="2">
        <v>0.39166666666666666</v>
      </c>
      <c r="E113" s="2">
        <v>0.8</v>
      </c>
      <c r="F113" s="2">
        <v>0.40833333333333333</v>
      </c>
    </row>
    <row r="114" spans="1:6" x14ac:dyDescent="0.25">
      <c r="A114" t="s">
        <v>221</v>
      </c>
      <c r="B114" t="s">
        <v>81</v>
      </c>
      <c r="C114" s="6">
        <v>45294</v>
      </c>
      <c r="D114" s="2">
        <v>0.40138888888888891</v>
      </c>
      <c r="E114" s="2">
        <v>0.78055555555555556</v>
      </c>
      <c r="F114" s="2">
        <v>0.37916666666666665</v>
      </c>
    </row>
    <row r="115" spans="1:6" x14ac:dyDescent="0.25">
      <c r="A115" t="s">
        <v>222</v>
      </c>
      <c r="B115" t="s">
        <v>11</v>
      </c>
      <c r="C115" s="6">
        <v>45295</v>
      </c>
      <c r="D115" s="2">
        <v>0.40416666666666667</v>
      </c>
      <c r="E115" s="2">
        <v>0.80763888888888891</v>
      </c>
      <c r="F115" s="2">
        <v>0.40347222222222223</v>
      </c>
    </row>
    <row r="116" spans="1:6" x14ac:dyDescent="0.25">
      <c r="A116" t="s">
        <v>223</v>
      </c>
      <c r="B116" t="s">
        <v>19</v>
      </c>
      <c r="C116" s="6">
        <v>45295</v>
      </c>
      <c r="D116" s="2">
        <v>0.375</v>
      </c>
      <c r="E116" s="2">
        <v>0.72916666666666663</v>
      </c>
      <c r="F116" s="2">
        <v>0.35416666666666669</v>
      </c>
    </row>
    <row r="117" spans="1:6" x14ac:dyDescent="0.25">
      <c r="A117" t="s">
        <v>224</v>
      </c>
      <c r="B117" t="s">
        <v>24</v>
      </c>
      <c r="C117" s="6">
        <v>45295</v>
      </c>
      <c r="D117" s="2">
        <v>0.38263888888888886</v>
      </c>
      <c r="E117" s="2">
        <v>0.74722222222222223</v>
      </c>
      <c r="F117" s="2">
        <v>0.36458333333333331</v>
      </c>
    </row>
    <row r="118" spans="1:6" x14ac:dyDescent="0.25">
      <c r="A118" t="s">
        <v>225</v>
      </c>
      <c r="B118" t="s">
        <v>28</v>
      </c>
      <c r="C118" s="6">
        <v>45295</v>
      </c>
      <c r="D118" s="2">
        <v>0.41180555555555554</v>
      </c>
      <c r="E118" s="2">
        <v>0.82777777777777772</v>
      </c>
      <c r="F118" s="2">
        <v>0.41597222222222224</v>
      </c>
    </row>
    <row r="119" spans="1:6" x14ac:dyDescent="0.25">
      <c r="A119" t="s">
        <v>227</v>
      </c>
      <c r="B119" t="s">
        <v>33</v>
      </c>
      <c r="C119" s="6">
        <v>45295</v>
      </c>
      <c r="D119" s="2">
        <v>0.40902777777777777</v>
      </c>
      <c r="E119" s="2">
        <v>0.76597222222222228</v>
      </c>
      <c r="F119" s="2">
        <v>0.35694444444444445</v>
      </c>
    </row>
    <row r="120" spans="1:6" x14ac:dyDescent="0.25">
      <c r="A120" t="s">
        <v>228</v>
      </c>
      <c r="B120" t="s">
        <v>37</v>
      </c>
      <c r="C120" s="6">
        <v>45295</v>
      </c>
      <c r="D120" s="2">
        <v>0.38055555555555554</v>
      </c>
      <c r="E120" s="2">
        <v>0.78541666666666665</v>
      </c>
      <c r="F120" s="2">
        <v>0.40486111111111112</v>
      </c>
    </row>
    <row r="121" spans="1:6" x14ac:dyDescent="0.25">
      <c r="A121" t="s">
        <v>229</v>
      </c>
      <c r="B121" t="s">
        <v>39</v>
      </c>
      <c r="C121" s="6">
        <v>45295</v>
      </c>
      <c r="D121" s="2">
        <v>0.40833333333333333</v>
      </c>
      <c r="E121" s="2">
        <v>0.82499999999999996</v>
      </c>
      <c r="F121" s="2">
        <v>0.41666666666666669</v>
      </c>
    </row>
    <row r="122" spans="1:6" x14ac:dyDescent="0.25">
      <c r="A122" t="s">
        <v>230</v>
      </c>
      <c r="B122" t="s">
        <v>42</v>
      </c>
      <c r="C122" s="6">
        <v>45295</v>
      </c>
      <c r="D122" s="2">
        <v>0.41111111111111109</v>
      </c>
      <c r="E122" s="2">
        <v>0.83472222222222225</v>
      </c>
      <c r="F122" s="2">
        <v>0.4236111111111111</v>
      </c>
    </row>
    <row r="123" spans="1:6" x14ac:dyDescent="0.25">
      <c r="A123" t="s">
        <v>231</v>
      </c>
      <c r="B123" t="s">
        <v>45</v>
      </c>
      <c r="C123" s="6">
        <v>45295</v>
      </c>
      <c r="D123" s="2">
        <v>0.39166666666666666</v>
      </c>
      <c r="E123" s="2">
        <v>0.74097222222222225</v>
      </c>
      <c r="F123" s="2">
        <v>0.34930555555555554</v>
      </c>
    </row>
    <row r="124" spans="1:6" x14ac:dyDescent="0.25">
      <c r="A124" t="s">
        <v>232</v>
      </c>
      <c r="B124" t="s">
        <v>47</v>
      </c>
      <c r="C124" s="6">
        <v>45295</v>
      </c>
      <c r="D124" s="2">
        <v>0.41249999999999998</v>
      </c>
      <c r="E124" s="2">
        <v>0.80972222222222223</v>
      </c>
      <c r="F124" s="2">
        <v>0.3972222222222222</v>
      </c>
    </row>
    <row r="125" spans="1:6" x14ac:dyDescent="0.25">
      <c r="A125" t="s">
        <v>234</v>
      </c>
      <c r="B125" t="s">
        <v>50</v>
      </c>
      <c r="C125" s="6">
        <v>45295</v>
      </c>
      <c r="D125" s="2">
        <v>0.40694444444444444</v>
      </c>
      <c r="E125" s="2">
        <v>0.76111111111111107</v>
      </c>
      <c r="F125" s="2">
        <v>0.35416666666666669</v>
      </c>
    </row>
    <row r="126" spans="1:6" x14ac:dyDescent="0.25">
      <c r="A126" t="s">
        <v>235</v>
      </c>
      <c r="B126" t="s">
        <v>51</v>
      </c>
      <c r="C126" s="6">
        <v>45295</v>
      </c>
      <c r="D126" s="2">
        <v>0.41388888888888886</v>
      </c>
      <c r="E126" s="2">
        <v>0.76388888888888884</v>
      </c>
      <c r="F126" s="2">
        <v>0.35</v>
      </c>
    </row>
    <row r="127" spans="1:6" x14ac:dyDescent="0.25">
      <c r="A127" t="s">
        <v>236</v>
      </c>
      <c r="B127" t="s">
        <v>53</v>
      </c>
      <c r="C127" s="6">
        <v>45295</v>
      </c>
      <c r="D127" s="2">
        <v>0.41319444444444442</v>
      </c>
      <c r="E127" s="2">
        <v>0.84722222222222221</v>
      </c>
      <c r="F127" s="2">
        <v>0.43402777777777779</v>
      </c>
    </row>
    <row r="128" spans="1:6" x14ac:dyDescent="0.25">
      <c r="A128" t="s">
        <v>237</v>
      </c>
      <c r="B128" t="s">
        <v>54</v>
      </c>
      <c r="C128" s="6">
        <v>45295</v>
      </c>
      <c r="D128" s="2">
        <v>0.40138888888888891</v>
      </c>
      <c r="E128" s="2">
        <v>0.82777777777777772</v>
      </c>
      <c r="F128" s="2">
        <v>0.42638888888888887</v>
      </c>
    </row>
    <row r="129" spans="1:6" x14ac:dyDescent="0.25">
      <c r="A129" t="s">
        <v>239</v>
      </c>
      <c r="B129" t="s">
        <v>58</v>
      </c>
      <c r="C129" s="6">
        <v>45295</v>
      </c>
      <c r="D129" s="2">
        <v>0.38124999999999998</v>
      </c>
      <c r="E129" s="2">
        <v>0.72361111111111109</v>
      </c>
      <c r="F129" s="2">
        <v>0.34236111111111112</v>
      </c>
    </row>
    <row r="130" spans="1:6" x14ac:dyDescent="0.25">
      <c r="A130" t="s">
        <v>240</v>
      </c>
      <c r="B130" t="s">
        <v>59</v>
      </c>
      <c r="C130" s="6">
        <v>45295</v>
      </c>
      <c r="D130" s="2">
        <v>0.40972222222222221</v>
      </c>
      <c r="E130" s="2">
        <v>0.80138888888888893</v>
      </c>
      <c r="F130" s="2">
        <v>0.39166666666666666</v>
      </c>
    </row>
    <row r="131" spans="1:6" x14ac:dyDescent="0.25">
      <c r="A131" t="s">
        <v>241</v>
      </c>
      <c r="B131" t="s">
        <v>60</v>
      </c>
      <c r="C131" s="6">
        <v>45295</v>
      </c>
      <c r="D131" s="2">
        <v>0.40069444444444446</v>
      </c>
      <c r="E131" s="2">
        <v>0.75277777777777777</v>
      </c>
      <c r="F131" s="2">
        <v>0.35208333333333336</v>
      </c>
    </row>
    <row r="132" spans="1:6" x14ac:dyDescent="0.25">
      <c r="A132" t="s">
        <v>242</v>
      </c>
      <c r="B132" t="s">
        <v>61</v>
      </c>
      <c r="C132" s="6">
        <v>45295</v>
      </c>
      <c r="D132" s="2">
        <v>0.40763888888888888</v>
      </c>
      <c r="E132" s="2">
        <v>0.82430555555555551</v>
      </c>
      <c r="F132" s="2">
        <v>0.41666666666666669</v>
      </c>
    </row>
    <row r="133" spans="1:6" x14ac:dyDescent="0.25">
      <c r="A133" t="s">
        <v>243</v>
      </c>
      <c r="B133" t="s">
        <v>62</v>
      </c>
      <c r="C133" s="6">
        <v>45295</v>
      </c>
      <c r="D133" s="2">
        <v>0.40069444444444446</v>
      </c>
      <c r="E133" s="2">
        <v>0.85138888888888886</v>
      </c>
      <c r="F133" s="2">
        <v>0.45069444444444445</v>
      </c>
    </row>
    <row r="134" spans="1:6" x14ac:dyDescent="0.25">
      <c r="A134" t="s">
        <v>244</v>
      </c>
      <c r="B134" t="s">
        <v>63</v>
      </c>
      <c r="C134" s="6">
        <v>45295</v>
      </c>
      <c r="D134" s="2">
        <v>0.40277777777777779</v>
      </c>
      <c r="E134" s="2">
        <v>0.82291666666666663</v>
      </c>
      <c r="F134" s="2">
        <v>0.4201388888888889</v>
      </c>
    </row>
    <row r="135" spans="1:6" x14ac:dyDescent="0.25">
      <c r="A135" t="s">
        <v>245</v>
      </c>
      <c r="B135" t="s">
        <v>64</v>
      </c>
      <c r="C135" s="6">
        <v>45295</v>
      </c>
      <c r="D135" s="2">
        <v>0.39652777777777776</v>
      </c>
      <c r="E135" s="2">
        <v>0.73541666666666672</v>
      </c>
      <c r="F135" s="2">
        <v>0.33888888888888891</v>
      </c>
    </row>
    <row r="136" spans="1:6" x14ac:dyDescent="0.25">
      <c r="A136" t="s">
        <v>246</v>
      </c>
      <c r="B136" t="s">
        <v>65</v>
      </c>
      <c r="C136" s="6">
        <v>45295</v>
      </c>
      <c r="D136" s="2">
        <v>0.40625</v>
      </c>
      <c r="E136" s="2">
        <v>0.80972222222222223</v>
      </c>
      <c r="F136" s="2">
        <v>0.40347222222222223</v>
      </c>
    </row>
    <row r="137" spans="1:6" x14ac:dyDescent="0.25">
      <c r="A137" t="s">
        <v>247</v>
      </c>
      <c r="B137" t="s">
        <v>66</v>
      </c>
      <c r="C137" s="6">
        <v>45295</v>
      </c>
      <c r="D137" s="2">
        <v>0.38958333333333334</v>
      </c>
      <c r="E137" s="2">
        <v>0.8125</v>
      </c>
      <c r="F137" s="2">
        <v>0.42291666666666666</v>
      </c>
    </row>
    <row r="138" spans="1:6" x14ac:dyDescent="0.25">
      <c r="A138" t="s">
        <v>248</v>
      </c>
      <c r="B138" t="s">
        <v>67</v>
      </c>
      <c r="C138" s="6">
        <v>45295</v>
      </c>
      <c r="D138" s="2">
        <v>0.38124999999999998</v>
      </c>
      <c r="E138" s="2">
        <v>0.77430555555555558</v>
      </c>
      <c r="F138" s="2">
        <v>0.39305555555555555</v>
      </c>
    </row>
    <row r="139" spans="1:6" x14ac:dyDescent="0.25">
      <c r="A139" t="s">
        <v>249</v>
      </c>
      <c r="B139" t="s">
        <v>68</v>
      </c>
      <c r="C139" s="6">
        <v>45295</v>
      </c>
      <c r="D139" s="2">
        <v>0.39583333333333331</v>
      </c>
      <c r="E139" s="2">
        <v>0.76736111111111116</v>
      </c>
      <c r="F139" s="2">
        <v>0.37152777777777779</v>
      </c>
    </row>
    <row r="140" spans="1:6" x14ac:dyDescent="0.25">
      <c r="A140" t="s">
        <v>250</v>
      </c>
      <c r="B140" t="s">
        <v>69</v>
      </c>
      <c r="C140" s="6">
        <v>45295</v>
      </c>
      <c r="D140" s="2">
        <v>0.40416666666666667</v>
      </c>
      <c r="E140" s="2">
        <v>0.75208333333333333</v>
      </c>
      <c r="F140" s="2">
        <v>0.34791666666666665</v>
      </c>
    </row>
    <row r="141" spans="1:6" x14ac:dyDescent="0.25">
      <c r="A141" t="s">
        <v>252</v>
      </c>
      <c r="B141" t="s">
        <v>71</v>
      </c>
      <c r="C141" s="6">
        <v>45295</v>
      </c>
      <c r="D141" s="2">
        <v>0.3888888888888889</v>
      </c>
      <c r="E141" s="2">
        <v>0.80486111111111114</v>
      </c>
      <c r="F141" s="2">
        <v>0.41597222222222224</v>
      </c>
    </row>
    <row r="142" spans="1:6" x14ac:dyDescent="0.25">
      <c r="A142" t="s">
        <v>253</v>
      </c>
      <c r="B142" t="s">
        <v>72</v>
      </c>
      <c r="C142" s="6">
        <v>45295</v>
      </c>
      <c r="D142" s="2">
        <v>0.41388888888888886</v>
      </c>
      <c r="E142" s="2">
        <v>0.84097222222222223</v>
      </c>
      <c r="F142" s="2">
        <v>0.42708333333333331</v>
      </c>
    </row>
    <row r="143" spans="1:6" x14ac:dyDescent="0.25">
      <c r="A143" t="s">
        <v>254</v>
      </c>
      <c r="B143" t="s">
        <v>73</v>
      </c>
      <c r="C143" s="6">
        <v>45295</v>
      </c>
      <c r="D143" s="2">
        <v>0.39930555555555558</v>
      </c>
      <c r="E143" s="2">
        <v>0.73263888888888884</v>
      </c>
      <c r="F143" s="2">
        <v>0.33333333333333331</v>
      </c>
    </row>
    <row r="144" spans="1:6" x14ac:dyDescent="0.25">
      <c r="A144" t="s">
        <v>255</v>
      </c>
      <c r="B144" t="s">
        <v>75</v>
      </c>
      <c r="C144" s="6">
        <v>45295</v>
      </c>
      <c r="D144" s="2">
        <v>0.41388888888888886</v>
      </c>
      <c r="E144" s="2">
        <v>0.83819444444444446</v>
      </c>
      <c r="F144" s="2">
        <v>0.42430555555555555</v>
      </c>
    </row>
    <row r="145" spans="1:6" x14ac:dyDescent="0.25">
      <c r="A145" t="s">
        <v>256</v>
      </c>
      <c r="B145" t="s">
        <v>76</v>
      </c>
      <c r="C145" s="6">
        <v>45295</v>
      </c>
      <c r="D145" s="2">
        <v>0.40833333333333333</v>
      </c>
      <c r="E145" s="2">
        <v>0.83750000000000002</v>
      </c>
      <c r="F145" s="2">
        <v>0.42916666666666664</v>
      </c>
    </row>
    <row r="146" spans="1:6" x14ac:dyDescent="0.25">
      <c r="A146" t="s">
        <v>257</v>
      </c>
      <c r="B146" t="s">
        <v>77</v>
      </c>
      <c r="C146" s="6">
        <v>45295</v>
      </c>
      <c r="D146" s="2">
        <v>0.41041666666666665</v>
      </c>
      <c r="E146" s="2">
        <v>0.85138888888888886</v>
      </c>
      <c r="F146" s="2">
        <v>0.44097222222222221</v>
      </c>
    </row>
    <row r="147" spans="1:6" x14ac:dyDescent="0.25">
      <c r="A147" t="s">
        <v>258</v>
      </c>
      <c r="B147" t="s">
        <v>78</v>
      </c>
      <c r="C147" s="6">
        <v>45295</v>
      </c>
      <c r="D147" s="2">
        <v>0.39930555555555558</v>
      </c>
      <c r="E147" s="2">
        <v>0.83333333333333337</v>
      </c>
      <c r="F147" s="2">
        <v>0.43402777777777779</v>
      </c>
    </row>
    <row r="148" spans="1:6" x14ac:dyDescent="0.25">
      <c r="A148" t="s">
        <v>259</v>
      </c>
      <c r="B148" t="s">
        <v>79</v>
      </c>
      <c r="C148" s="6">
        <v>45295</v>
      </c>
      <c r="D148" s="2">
        <v>0.40486111111111112</v>
      </c>
      <c r="E148" s="2">
        <v>0.84236111111111112</v>
      </c>
      <c r="F148" s="2">
        <v>0.4375</v>
      </c>
    </row>
    <row r="149" spans="1:6" x14ac:dyDescent="0.25">
      <c r="A149" t="s">
        <v>260</v>
      </c>
      <c r="B149" t="s">
        <v>80</v>
      </c>
      <c r="C149" s="6">
        <v>45295</v>
      </c>
      <c r="D149" s="2">
        <v>0.39652777777777776</v>
      </c>
      <c r="E149" s="2">
        <v>0.75486111111111109</v>
      </c>
      <c r="F149" s="2">
        <v>0.35833333333333334</v>
      </c>
    </row>
    <row r="150" spans="1:6" x14ac:dyDescent="0.25">
      <c r="A150" t="s">
        <v>261</v>
      </c>
      <c r="B150" t="s">
        <v>81</v>
      </c>
      <c r="C150" s="6">
        <v>45295</v>
      </c>
      <c r="D150" s="2">
        <v>0.38472222222222224</v>
      </c>
      <c r="E150" s="2">
        <v>0.78263888888888888</v>
      </c>
      <c r="F150" s="2">
        <v>0.39791666666666664</v>
      </c>
    </row>
    <row r="151" spans="1:6" x14ac:dyDescent="0.25">
      <c r="A151" t="s">
        <v>262</v>
      </c>
      <c r="B151" t="s">
        <v>11</v>
      </c>
      <c r="C151" s="6">
        <v>45296</v>
      </c>
      <c r="D151" s="2">
        <v>0.38541666666666669</v>
      </c>
      <c r="E151" s="2">
        <v>0.72430555555555554</v>
      </c>
      <c r="F151" s="2">
        <v>0.33888888888888891</v>
      </c>
    </row>
    <row r="152" spans="1:6" x14ac:dyDescent="0.25">
      <c r="A152" t="s">
        <v>263</v>
      </c>
      <c r="B152" t="s">
        <v>19</v>
      </c>
      <c r="C152" s="6">
        <v>45296</v>
      </c>
      <c r="D152" s="2">
        <v>0.40902777777777777</v>
      </c>
      <c r="E152" s="2">
        <v>0.7895833333333333</v>
      </c>
      <c r="F152" s="2">
        <v>0.38055555555555554</v>
      </c>
    </row>
    <row r="153" spans="1:6" x14ac:dyDescent="0.25">
      <c r="A153" t="s">
        <v>264</v>
      </c>
      <c r="B153" t="s">
        <v>24</v>
      </c>
      <c r="C153" s="6">
        <v>45296</v>
      </c>
      <c r="D153" s="2">
        <v>0.41111111111111109</v>
      </c>
      <c r="E153" s="2">
        <v>0.78680555555555554</v>
      </c>
      <c r="F153" s="2">
        <v>0.37569444444444444</v>
      </c>
    </row>
    <row r="154" spans="1:6" x14ac:dyDescent="0.25">
      <c r="A154" t="s">
        <v>265</v>
      </c>
      <c r="B154" t="s">
        <v>28</v>
      </c>
      <c r="C154" s="6">
        <v>45296</v>
      </c>
      <c r="D154" s="2">
        <v>0.4152777777777778</v>
      </c>
      <c r="E154" s="2">
        <v>0.75763888888888886</v>
      </c>
      <c r="F154" s="2">
        <v>0.34236111111111112</v>
      </c>
    </row>
    <row r="155" spans="1:6" x14ac:dyDescent="0.25">
      <c r="A155" t="s">
        <v>266</v>
      </c>
      <c r="B155" t="s">
        <v>30</v>
      </c>
      <c r="C155" s="6">
        <v>45296</v>
      </c>
      <c r="D155" s="2">
        <v>0.41597222222222224</v>
      </c>
      <c r="E155" s="2">
        <v>0.8618055555555556</v>
      </c>
      <c r="F155" s="2">
        <v>0.44583333333333336</v>
      </c>
    </row>
    <row r="156" spans="1:6" x14ac:dyDescent="0.25">
      <c r="A156" t="s">
        <v>268</v>
      </c>
      <c r="B156" t="s">
        <v>37</v>
      </c>
      <c r="C156" s="6">
        <v>45296</v>
      </c>
      <c r="D156" s="2">
        <v>0.38333333333333336</v>
      </c>
      <c r="E156" s="2">
        <v>0.81944444444444442</v>
      </c>
      <c r="F156" s="2">
        <v>0.43611111111111112</v>
      </c>
    </row>
    <row r="157" spans="1:6" x14ac:dyDescent="0.25">
      <c r="A157" t="s">
        <v>269</v>
      </c>
      <c r="B157" t="s">
        <v>39</v>
      </c>
      <c r="C157" s="6">
        <v>45296</v>
      </c>
      <c r="D157" s="2">
        <v>0.37916666666666665</v>
      </c>
      <c r="E157" s="2">
        <v>0.77152777777777781</v>
      </c>
      <c r="F157" s="2">
        <v>0.3923611111111111</v>
      </c>
    </row>
    <row r="158" spans="1:6" x14ac:dyDescent="0.25">
      <c r="A158" t="s">
        <v>270</v>
      </c>
      <c r="B158" t="s">
        <v>42</v>
      </c>
      <c r="C158" s="6">
        <v>45296</v>
      </c>
      <c r="D158" s="2">
        <v>0.38124999999999998</v>
      </c>
      <c r="E158" s="2">
        <v>0.76597222222222228</v>
      </c>
      <c r="F158" s="2">
        <v>0.38472222222222224</v>
      </c>
    </row>
    <row r="159" spans="1:6" x14ac:dyDescent="0.25">
      <c r="A159" t="s">
        <v>271</v>
      </c>
      <c r="B159" t="s">
        <v>45</v>
      </c>
      <c r="C159" s="6">
        <v>45296</v>
      </c>
      <c r="D159" s="2">
        <v>0.37777777777777777</v>
      </c>
      <c r="E159" s="2">
        <v>0.76249999999999996</v>
      </c>
      <c r="F159" s="2">
        <v>0.38472222222222224</v>
      </c>
    </row>
    <row r="160" spans="1:6" x14ac:dyDescent="0.25">
      <c r="A160" t="s">
        <v>272</v>
      </c>
      <c r="B160" t="s">
        <v>47</v>
      </c>
      <c r="C160" s="6">
        <v>45296</v>
      </c>
      <c r="D160" s="2">
        <v>0.39374999999999999</v>
      </c>
      <c r="E160" s="2">
        <v>0.76944444444444449</v>
      </c>
      <c r="F160" s="2">
        <v>0.37569444444444444</v>
      </c>
    </row>
    <row r="161" spans="1:6" x14ac:dyDescent="0.25">
      <c r="A161" t="s">
        <v>273</v>
      </c>
      <c r="B161" t="s">
        <v>48</v>
      </c>
      <c r="C161" s="6">
        <v>45296</v>
      </c>
      <c r="D161" s="2">
        <v>0.39027777777777778</v>
      </c>
      <c r="E161" s="2">
        <v>0.81111111111111112</v>
      </c>
      <c r="F161" s="2">
        <v>0.42083333333333334</v>
      </c>
    </row>
    <row r="162" spans="1:6" x14ac:dyDescent="0.25">
      <c r="A162" t="s">
        <v>275</v>
      </c>
      <c r="B162" t="s">
        <v>51</v>
      </c>
      <c r="C162" s="6">
        <v>45296</v>
      </c>
      <c r="D162" s="2">
        <v>0.38611111111111113</v>
      </c>
      <c r="E162" s="2">
        <v>0.77500000000000002</v>
      </c>
      <c r="F162" s="2">
        <v>0.3888888888888889</v>
      </c>
    </row>
    <row r="163" spans="1:6" x14ac:dyDescent="0.25">
      <c r="A163" t="s">
        <v>276</v>
      </c>
      <c r="B163" t="s">
        <v>53</v>
      </c>
      <c r="C163" s="6">
        <v>45296</v>
      </c>
      <c r="D163" s="2">
        <v>0.38750000000000001</v>
      </c>
      <c r="E163" s="2">
        <v>0.80555555555555558</v>
      </c>
      <c r="F163" s="2">
        <v>0.41805555555555557</v>
      </c>
    </row>
    <row r="164" spans="1:6" x14ac:dyDescent="0.25">
      <c r="A164" t="s">
        <v>277</v>
      </c>
      <c r="B164" t="s">
        <v>54</v>
      </c>
      <c r="C164" s="6">
        <v>45296</v>
      </c>
      <c r="D164" s="2">
        <v>0.39513888888888887</v>
      </c>
      <c r="E164" s="2">
        <v>0.77708333333333335</v>
      </c>
      <c r="F164" s="2">
        <v>0.38194444444444442</v>
      </c>
    </row>
    <row r="165" spans="1:6" x14ac:dyDescent="0.25">
      <c r="A165" t="s">
        <v>278</v>
      </c>
      <c r="B165" t="s">
        <v>55</v>
      </c>
      <c r="C165" s="6">
        <v>45296</v>
      </c>
      <c r="D165" s="2">
        <v>0.41041666666666665</v>
      </c>
      <c r="E165" s="2">
        <v>0.83263888888888893</v>
      </c>
      <c r="F165" s="2">
        <v>0.42222222222222222</v>
      </c>
    </row>
    <row r="166" spans="1:6" x14ac:dyDescent="0.25">
      <c r="A166" t="s">
        <v>279</v>
      </c>
      <c r="B166" t="s">
        <v>58</v>
      </c>
      <c r="C166" s="6">
        <v>45296</v>
      </c>
      <c r="D166" s="2">
        <v>0.375</v>
      </c>
      <c r="E166" s="2">
        <v>0.83194444444444449</v>
      </c>
      <c r="F166" s="2">
        <v>0.45694444444444443</v>
      </c>
    </row>
    <row r="167" spans="1:6" x14ac:dyDescent="0.25">
      <c r="A167" t="s">
        <v>280</v>
      </c>
      <c r="B167" t="s">
        <v>59</v>
      </c>
      <c r="C167" s="6">
        <v>45296</v>
      </c>
      <c r="D167" s="2">
        <v>0.39166666666666666</v>
      </c>
      <c r="E167" s="2">
        <v>0.72847222222222219</v>
      </c>
      <c r="F167" s="2">
        <v>0.33680555555555558</v>
      </c>
    </row>
    <row r="168" spans="1:6" x14ac:dyDescent="0.25">
      <c r="A168" t="s">
        <v>281</v>
      </c>
      <c r="B168" t="s">
        <v>60</v>
      </c>
      <c r="C168" s="6">
        <v>45296</v>
      </c>
      <c r="D168" s="2">
        <v>0.38472222222222224</v>
      </c>
      <c r="E168" s="2">
        <v>0.8354166666666667</v>
      </c>
      <c r="F168" s="2">
        <v>0.45069444444444445</v>
      </c>
    </row>
    <row r="169" spans="1:6" x14ac:dyDescent="0.25">
      <c r="A169" t="s">
        <v>282</v>
      </c>
      <c r="B169" t="s">
        <v>61</v>
      </c>
      <c r="C169" s="6">
        <v>45296</v>
      </c>
      <c r="D169" s="2">
        <v>0.39791666666666664</v>
      </c>
      <c r="E169" s="2">
        <v>0.81736111111111109</v>
      </c>
      <c r="F169" s="2">
        <v>0.41944444444444445</v>
      </c>
    </row>
    <row r="170" spans="1:6" x14ac:dyDescent="0.25">
      <c r="A170" t="s">
        <v>284</v>
      </c>
      <c r="B170" t="s">
        <v>63</v>
      </c>
      <c r="C170" s="6">
        <v>45296</v>
      </c>
      <c r="D170" s="2">
        <v>0.38611111111111113</v>
      </c>
      <c r="E170" s="2">
        <v>0.72152777777777777</v>
      </c>
      <c r="F170" s="2">
        <v>0.33541666666666664</v>
      </c>
    </row>
    <row r="171" spans="1:6" x14ac:dyDescent="0.25">
      <c r="A171" t="s">
        <v>286</v>
      </c>
      <c r="B171" t="s">
        <v>65</v>
      </c>
      <c r="C171" s="6">
        <v>45296</v>
      </c>
      <c r="D171" s="2">
        <v>0.39513888888888887</v>
      </c>
      <c r="E171" s="2">
        <v>0.73055555555555551</v>
      </c>
      <c r="F171" s="2">
        <v>0.33541666666666664</v>
      </c>
    </row>
    <row r="172" spans="1:6" x14ac:dyDescent="0.25">
      <c r="A172" t="s">
        <v>287</v>
      </c>
      <c r="B172" t="s">
        <v>66</v>
      </c>
      <c r="C172" s="6">
        <v>45296</v>
      </c>
      <c r="D172" s="2">
        <v>0.39513888888888887</v>
      </c>
      <c r="E172" s="2">
        <v>0.79652777777777772</v>
      </c>
      <c r="F172" s="2">
        <v>0.40138888888888891</v>
      </c>
    </row>
    <row r="173" spans="1:6" x14ac:dyDescent="0.25">
      <c r="A173" t="s">
        <v>288</v>
      </c>
      <c r="B173" t="s">
        <v>67</v>
      </c>
      <c r="C173" s="6">
        <v>45296</v>
      </c>
      <c r="D173" s="2">
        <v>0.38333333333333336</v>
      </c>
      <c r="E173" s="2">
        <v>0.81527777777777777</v>
      </c>
      <c r="F173" s="2">
        <v>0.43194444444444446</v>
      </c>
    </row>
    <row r="174" spans="1:6" x14ac:dyDescent="0.25">
      <c r="A174" t="s">
        <v>289</v>
      </c>
      <c r="B174" t="s">
        <v>68</v>
      </c>
      <c r="C174" s="6">
        <v>45296</v>
      </c>
      <c r="D174" s="2">
        <v>0.37708333333333333</v>
      </c>
      <c r="E174" s="2">
        <v>0.73055555555555551</v>
      </c>
      <c r="F174" s="2">
        <v>0.35347222222222224</v>
      </c>
    </row>
    <row r="175" spans="1:6" x14ac:dyDescent="0.25">
      <c r="A175" t="s">
        <v>290</v>
      </c>
      <c r="B175" t="s">
        <v>69</v>
      </c>
      <c r="C175" s="6">
        <v>45296</v>
      </c>
      <c r="D175" s="2">
        <v>0.38472222222222224</v>
      </c>
      <c r="E175" s="2">
        <v>0.83888888888888891</v>
      </c>
      <c r="F175" s="2">
        <v>0.45416666666666666</v>
      </c>
    </row>
    <row r="176" spans="1:6" x14ac:dyDescent="0.25">
      <c r="A176" t="s">
        <v>291</v>
      </c>
      <c r="B176" t="s">
        <v>70</v>
      </c>
      <c r="C176" s="6">
        <v>45296</v>
      </c>
      <c r="D176" s="2">
        <v>0.40208333333333335</v>
      </c>
      <c r="E176" s="2">
        <v>0.8305555555555556</v>
      </c>
      <c r="F176" s="2">
        <v>0.4284722222222222</v>
      </c>
    </row>
    <row r="177" spans="1:6" x14ac:dyDescent="0.25">
      <c r="A177" t="s">
        <v>292</v>
      </c>
      <c r="B177" t="s">
        <v>71</v>
      </c>
      <c r="C177" s="6">
        <v>45296</v>
      </c>
      <c r="D177" s="2">
        <v>0.40972222222222221</v>
      </c>
      <c r="E177" s="2">
        <v>0.82291666666666663</v>
      </c>
      <c r="F177" s="2">
        <v>0.41319444444444442</v>
      </c>
    </row>
    <row r="178" spans="1:6" x14ac:dyDescent="0.25">
      <c r="A178" t="s">
        <v>293</v>
      </c>
      <c r="B178" t="s">
        <v>72</v>
      </c>
      <c r="C178" s="6">
        <v>45296</v>
      </c>
      <c r="D178" s="2">
        <v>0.38541666666666669</v>
      </c>
      <c r="E178" s="2">
        <v>0.75902777777777775</v>
      </c>
      <c r="F178" s="2">
        <v>0.37361111111111112</v>
      </c>
    </row>
    <row r="179" spans="1:6" x14ac:dyDescent="0.25">
      <c r="A179" t="s">
        <v>294</v>
      </c>
      <c r="B179" t="s">
        <v>73</v>
      </c>
      <c r="C179" s="6">
        <v>45296</v>
      </c>
      <c r="D179" s="2">
        <v>0.3840277777777778</v>
      </c>
      <c r="E179" s="2">
        <v>0.7583333333333333</v>
      </c>
      <c r="F179" s="2">
        <v>0.37430555555555556</v>
      </c>
    </row>
    <row r="180" spans="1:6" x14ac:dyDescent="0.25">
      <c r="A180" t="s">
        <v>295</v>
      </c>
      <c r="B180" t="s">
        <v>75</v>
      </c>
      <c r="C180" s="6">
        <v>45296</v>
      </c>
      <c r="D180" s="2">
        <v>0.40902777777777777</v>
      </c>
      <c r="E180" s="2">
        <v>0.86250000000000004</v>
      </c>
      <c r="F180" s="2">
        <v>0.45347222222222222</v>
      </c>
    </row>
    <row r="181" spans="1:6" x14ac:dyDescent="0.25">
      <c r="A181" t="s">
        <v>296</v>
      </c>
      <c r="B181" t="s">
        <v>76</v>
      </c>
      <c r="C181" s="6">
        <v>45296</v>
      </c>
      <c r="D181" s="2">
        <v>0.40625</v>
      </c>
      <c r="E181" s="2">
        <v>0.75763888888888886</v>
      </c>
      <c r="F181" s="2">
        <v>0.35138888888888886</v>
      </c>
    </row>
    <row r="182" spans="1:6" x14ac:dyDescent="0.25">
      <c r="A182" t="s">
        <v>297</v>
      </c>
      <c r="B182" t="s">
        <v>77</v>
      </c>
      <c r="C182" s="6">
        <v>45296</v>
      </c>
      <c r="D182" s="2">
        <v>0.41041666666666665</v>
      </c>
      <c r="E182" s="2">
        <v>0.86250000000000004</v>
      </c>
      <c r="F182" s="2">
        <v>0.45208333333333334</v>
      </c>
    </row>
    <row r="183" spans="1:6" x14ac:dyDescent="0.25">
      <c r="A183" t="s">
        <v>298</v>
      </c>
      <c r="B183" t="s">
        <v>78</v>
      </c>
      <c r="C183" s="6">
        <v>45296</v>
      </c>
      <c r="D183" s="2">
        <v>0.41388888888888886</v>
      </c>
      <c r="E183" s="2">
        <v>0.76666666666666672</v>
      </c>
      <c r="F183" s="2">
        <v>0.3527777777777778</v>
      </c>
    </row>
    <row r="184" spans="1:6" x14ac:dyDescent="0.25">
      <c r="A184" t="s">
        <v>299</v>
      </c>
      <c r="B184" t="s">
        <v>79</v>
      </c>
      <c r="C184" s="6">
        <v>45296</v>
      </c>
      <c r="D184" s="2">
        <v>0.39652777777777776</v>
      </c>
      <c r="E184" s="2">
        <v>0.78611111111111109</v>
      </c>
      <c r="F184" s="2">
        <v>0.38958333333333334</v>
      </c>
    </row>
    <row r="185" spans="1:6" x14ac:dyDescent="0.25">
      <c r="A185" t="s">
        <v>300</v>
      </c>
      <c r="B185" t="s">
        <v>80</v>
      </c>
      <c r="C185" s="6">
        <v>45296</v>
      </c>
      <c r="D185" s="2">
        <v>0.38958333333333334</v>
      </c>
      <c r="E185" s="2">
        <v>0.78055555555555556</v>
      </c>
      <c r="F185" s="2">
        <v>0.39097222222222222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85F549-E060-4F4E-AF77-F7E2C9B88C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Dash board base</vt:lpstr>
      <vt:lpstr>PIVOT TABLE</vt:lpstr>
      <vt:lpstr>HR ANALYTICS </vt:lpstr>
      <vt:lpstr>DASHBOARD PLANS</vt:lpstr>
      <vt:lpstr>1_Employee_Master_Updated</vt:lpstr>
      <vt:lpstr>Attrition_with_Complaints</vt:lpstr>
      <vt:lpstr>Appraisal_Updated</vt:lpstr>
      <vt:lpstr>Attendance_Status_Updated</vt:lpstr>
      <vt:lpstr>Engagement_Pulse_Survey</vt:lpstr>
      <vt:lpstr>Leave_Updated</vt:lpstr>
      <vt:lpstr>Official_Updated</vt:lpstr>
      <vt:lpstr>Payroll_Updated</vt:lpstr>
      <vt:lpstr>Recruitment_Updated</vt:lpstr>
      <vt:lpstr>Review_Updated</vt:lpstr>
      <vt:lpstr>Working_Hours_Updated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prasanthiniravichandran@outlook.com</cp:lastModifiedBy>
  <dcterms:created xsi:type="dcterms:W3CDTF">2015-06-05T18:17:20Z</dcterms:created>
  <dcterms:modified xsi:type="dcterms:W3CDTF">2026-02-18T11:03:49Z</dcterms:modified>
</cp:coreProperties>
</file>